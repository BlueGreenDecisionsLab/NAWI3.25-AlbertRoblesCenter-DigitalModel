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jrodri81_colostate_edu/Documents/Research/NAWI/Git Simulink Folder/ARC/ARC_Complete/"/>
    </mc:Choice>
  </mc:AlternateContent>
  <xr:revisionPtr revIDLastSave="121" documentId="11_F25DC773A252ABDACC104845011F67845ADE58ED" xr6:coauthVersionLast="47" xr6:coauthVersionMax="47" xr10:uidLastSave="{0000A288-2276-4D8A-A12D-3F25F4A31DDF}"/>
  <bookViews>
    <workbookView xWindow="22932" yWindow="-108" windowWidth="30936" windowHeight="18696" xr2:uid="{00000000-000D-0000-FFFF-FFFF00000000}"/>
  </bookViews>
  <sheets>
    <sheet name="Ultrafiltration" sheetId="1" r:id="rId1"/>
    <sheet name="Ultraviolet A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<sst xmlns="http://schemas.openxmlformats.org/spreadsheetml/2006/main" count="76" uniqueCount="57">
  <si>
    <t>Parameter</t>
  </si>
  <si>
    <t>Variable Name</t>
  </si>
  <si>
    <t>Value</t>
  </si>
  <si>
    <t>Units</t>
  </si>
  <si>
    <t>Source</t>
  </si>
  <si>
    <t>UF Unit Minimum Flow Rate</t>
  </si>
  <si>
    <t>UF_FlowMinimum_gpm</t>
  </si>
  <si>
    <t>gpm</t>
  </si>
  <si>
    <t xml:space="preserve">Table 3-1. ARC O&amp;M Manual 2021. https://app.box.com/file/1615307718366 </t>
  </si>
  <si>
    <t>UF Unit Maximum Flow Rate</t>
  </si>
  <si>
    <t>UF_FlowMaximum_gpm</t>
  </si>
  <si>
    <t>UF Modules per Unit</t>
  </si>
  <si>
    <t>UF_ModulesperUnit</t>
  </si>
  <si>
    <t>modules/unit</t>
  </si>
  <si>
    <t>UF Operating Recovery</t>
  </si>
  <si>
    <t>UF_RecoveryRate</t>
  </si>
  <si>
    <t>%</t>
  </si>
  <si>
    <t>UF Membrane Area per Module</t>
  </si>
  <si>
    <t>UF_AreaperModule</t>
  </si>
  <si>
    <t>ft^2/module</t>
  </si>
  <si>
    <t>Section 3.1.1 ARC O&amp;M Manual 2021. https://app.box.com/file/1615307718366</t>
  </si>
  <si>
    <t>UF Backwash Duration</t>
  </si>
  <si>
    <t>UF_CEBDuration</t>
  </si>
  <si>
    <t>Stochastic?</t>
  </si>
  <si>
    <t>40-60</t>
  </si>
  <si>
    <t>minutes</t>
  </si>
  <si>
    <t>Uniform Dist.</t>
  </si>
  <si>
    <t>Section 3.1.3.5 ARC O&amp;M Manual 2021. https://app.box.com/file/1615307718366</t>
  </si>
  <si>
    <t>UF_BWDuration</t>
  </si>
  <si>
    <t>UF Chemically Enhanced Backwash (CEB) Duration</t>
  </si>
  <si>
    <t xml:space="preserve">UF Backwash Cycle Time </t>
  </si>
  <si>
    <t>UF_BWCycleTime</t>
  </si>
  <si>
    <t xml:space="preserve">Figure 3-2. ARC O&amp;M Manual 2021. https://app.box.com/file/1615307718366 </t>
  </si>
  <si>
    <t>UF CEB Cycle Trigger</t>
  </si>
  <si>
    <t>UF_CEBCycleTrigger</t>
  </si>
  <si>
    <t>backwash cycles</t>
  </si>
  <si>
    <t>UF Maintenance Maximum</t>
  </si>
  <si>
    <t>UF_MaintCapacity</t>
  </si>
  <si>
    <t>unit</t>
  </si>
  <si>
    <t xml:space="preserve">Section 3.4.3. ARC O&amp;M Manual 2021. https://app.box.com/file/1615307718366 </t>
  </si>
  <si>
    <t>UF Queueing Order</t>
  </si>
  <si>
    <t>First in, first out</t>
  </si>
  <si>
    <t>N/A</t>
  </si>
  <si>
    <t>UF Unit Operating Configuration</t>
  </si>
  <si>
    <t>UF_OpsConfig</t>
  </si>
  <si>
    <t>units in operation</t>
  </si>
  <si>
    <t>Section 5.5.3. ARC Final Design Report 2020. https://app.box.com/file/1613208987897?s=9ndbkgh3e6k65q7fqlos0p0a72tmz36u</t>
  </si>
  <si>
    <t>3-4</t>
  </si>
  <si>
    <t>uvaop_flowmaximum_gpm</t>
  </si>
  <si>
    <t>No</t>
  </si>
  <si>
    <t>https://app.box.com/file/1613208987897?s=9ndbkgh3e6k65q7fqlos0p0a72tmz36u, Table 21</t>
  </si>
  <si>
    <t>UVAOP Maximum Feedflow</t>
  </si>
  <si>
    <t>UF Pump Maximum Flow</t>
  </si>
  <si>
    <t>UF_Pump_MaxFlow</t>
  </si>
  <si>
    <t>Table 2-4. https://app.box.com/file/1615307718366?s=q95zx0rb25fh37z1h4d5jvmdcoftkwn3</t>
  </si>
  <si>
    <t>UF Pump Minimum Flow</t>
  </si>
  <si>
    <t>UF_Pump_MinFlow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</si>
</sst>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box.com/file/1613208987897?s=9ndbkgh3e6k65q7fqlos0p0a72tmz36u,%20Table%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16" sqref="C16"/>
    </sheetView>
  </sheetViews>
  <sheetFormatPr defaultRowHeight="14.4" x14ac:dyDescent="0.3"/>
  <cols>
    <col min="1" max="1" width="32.33203125" bestFit="1" customWidth="1"/>
    <col min="2" max="2" width="22.6640625" bestFit="1" customWidth="1"/>
    <col min="3" max="3" width="13.77734375" bestFit="1" customWidth="1"/>
    <col min="4" max="4" width="13.33203125" bestFit="1" customWidth="1"/>
    <col min="5" max="5" width="11.88671875" bestFit="1" customWidth="1"/>
    <col min="6" max="6" width="71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4</v>
      </c>
    </row>
    <row r="2" spans="1:6" x14ac:dyDescent="0.3">
      <c r="A2" t="s">
        <v>5</v>
      </c>
      <c r="B2" t="s">
        <v>6</v>
      </c>
      <c r="C2">
        <v>1165</v>
      </c>
      <c r="D2" t="s">
        <v>7</v>
      </c>
      <c r="F2" t="s">
        <v>8</v>
      </c>
    </row>
    <row r="3" spans="1:6" x14ac:dyDescent="0.3">
      <c r="A3" t="s">
        <v>9</v>
      </c>
      <c r="B3" t="s">
        <v>10</v>
      </c>
      <c r="C3">
        <v>1640</v>
      </c>
      <c r="D3" t="s">
        <v>7</v>
      </c>
      <c r="F3" t="s">
        <v>8</v>
      </c>
    </row>
    <row r="4" spans="1:6" x14ac:dyDescent="0.3">
      <c r="A4" t="s">
        <v>11</v>
      </c>
      <c r="B4" t="s">
        <v>12</v>
      </c>
      <c r="C4">
        <v>80</v>
      </c>
      <c r="D4" t="s">
        <v>13</v>
      </c>
      <c r="F4" t="s">
        <v>8</v>
      </c>
    </row>
    <row r="5" spans="1:6" x14ac:dyDescent="0.3">
      <c r="A5" t="s">
        <v>14</v>
      </c>
      <c r="B5" t="s">
        <v>15</v>
      </c>
      <c r="C5">
        <v>96</v>
      </c>
      <c r="D5" t="s">
        <v>16</v>
      </c>
      <c r="F5" t="s">
        <v>8</v>
      </c>
    </row>
    <row r="6" spans="1:6" x14ac:dyDescent="0.3">
      <c r="A6" t="s">
        <v>17</v>
      </c>
      <c r="B6" t="s">
        <v>18</v>
      </c>
      <c r="C6">
        <v>775</v>
      </c>
      <c r="D6" t="s">
        <v>19</v>
      </c>
      <c r="F6" t="s">
        <v>20</v>
      </c>
    </row>
    <row r="7" spans="1:6" x14ac:dyDescent="0.3">
      <c r="A7" t="s">
        <v>21</v>
      </c>
      <c r="B7" t="s">
        <v>28</v>
      </c>
      <c r="C7" s="1" t="s">
        <v>47</v>
      </c>
      <c r="D7" t="s">
        <v>25</v>
      </c>
      <c r="E7" t="s">
        <v>26</v>
      </c>
      <c r="F7" t="s">
        <v>46</v>
      </c>
    </row>
    <row r="8" spans="1:6" x14ac:dyDescent="0.3">
      <c r="A8" t="s">
        <v>29</v>
      </c>
      <c r="B8" t="s">
        <v>22</v>
      </c>
      <c r="C8" t="s">
        <v>24</v>
      </c>
      <c r="D8" t="s">
        <v>25</v>
      </c>
      <c r="E8" t="s">
        <v>26</v>
      </c>
      <c r="F8" t="s">
        <v>27</v>
      </c>
    </row>
    <row r="9" spans="1:6" x14ac:dyDescent="0.3">
      <c r="A9" t="s">
        <v>30</v>
      </c>
      <c r="B9" t="s">
        <v>31</v>
      </c>
      <c r="C9">
        <v>55</v>
      </c>
      <c r="D9" t="s">
        <v>25</v>
      </c>
      <c r="F9" t="s">
        <v>32</v>
      </c>
    </row>
    <row r="10" spans="1:6" x14ac:dyDescent="0.3">
      <c r="A10" t="s">
        <v>33</v>
      </c>
      <c r="B10" t="s">
        <v>34</v>
      </c>
      <c r="C10">
        <v>500</v>
      </c>
      <c r="D10" t="s">
        <v>35</v>
      </c>
      <c r="F10" t="s">
        <v>32</v>
      </c>
    </row>
    <row r="11" spans="1:6" x14ac:dyDescent="0.3">
      <c r="A11" t="s">
        <v>36</v>
      </c>
      <c r="B11" t="s">
        <v>37</v>
      </c>
      <c r="C11">
        <v>1</v>
      </c>
      <c r="D11" t="s">
        <v>38</v>
      </c>
      <c r="F11" t="s">
        <v>39</v>
      </c>
    </row>
    <row r="12" spans="1:6" x14ac:dyDescent="0.3">
      <c r="A12" t="s">
        <v>40</v>
      </c>
      <c r="C12" t="s">
        <v>41</v>
      </c>
      <c r="D12" t="s">
        <v>42</v>
      </c>
      <c r="F12" t="s">
        <v>39</v>
      </c>
    </row>
    <row r="13" spans="1:6" x14ac:dyDescent="0.3">
      <c r="A13" t="s">
        <v>43</v>
      </c>
      <c r="B13" t="s">
        <v>44</v>
      </c>
      <c r="C13">
        <v>7</v>
      </c>
      <c r="D13" t="s">
        <v>45</v>
      </c>
      <c r="F13" t="s">
        <v>8</v>
      </c>
    </row>
    <row r="14" spans="1:6" x14ac:dyDescent="0.3">
      <c r="A14" t="s">
        <v>52</v>
      </c>
      <c r="B14" t="s">
        <v>53</v>
      </c>
      <c r="C14">
        <v>3850</v>
      </c>
      <c r="D14" t="s">
        <v>7</v>
      </c>
      <c r="F14" t="s">
        <v>54</v>
      </c>
    </row>
    <row r="15" spans="1:6" x14ac:dyDescent="0.3">
      <c r="A15" t="s">
        <v>55</v>
      </c>
      <c r="B15" t="s">
        <v>56</v>
      </c>
      <c r="C15">
        <v>918</v>
      </c>
      <c r="D1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8D40-D5DA-456A-A268-A2BD2A560955}">
  <dimension ref="A1:F2"/>
  <sheetViews>
    <sheetView workbookViewId="0">
      <selection activeCell="A3" sqref="A3"/>
    </sheetView>
  </sheetViews>
  <sheetFormatPr defaultRowHeight="14.4" x14ac:dyDescent="0.3"/>
  <cols>
    <col min="1" max="1" width="25" bestFit="1" customWidth="1"/>
    <col min="2" max="2" width="13.88671875" bestFit="1" customWidth="1"/>
    <col min="3" max="3" width="6" bestFit="1" customWidth="1"/>
    <col min="4" max="4" width="5.44140625" bestFit="1" customWidth="1"/>
    <col min="5" max="5" width="10.5546875" bestFit="1" customWidth="1"/>
    <col min="6" max="6" width="6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4</v>
      </c>
    </row>
    <row r="2" spans="1:6" x14ac:dyDescent="0.3">
      <c r="A2" t="s">
        <v>51</v>
      </c>
      <c r="B2" t="s">
        <v>48</v>
      </c>
      <c r="C2">
        <f>7.45*1000000/1440</f>
        <v>5173.6111111111113</v>
      </c>
      <c r="D2" t="s">
        <v>7</v>
      </c>
      <c r="E2" t="s">
        <v>49</v>
      </c>
      <c r="F2" s="2" t="s">
        <v>50</v>
      </c>
    </row>
  </sheetData>
  <hyperlinks>
    <hyperlink ref="F2" r:id="rId1" xr:uid="{A79D0D6C-F96C-41D3-829F-33DBC42F06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Ultrafiltration</vt:lpstr>
      <vt:lpstr>Ultraviolet AOP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Rodriguez</dc:creator>
  <cp:lastModifiedBy>Rodriguez,Josh</cp:lastModifiedBy>
  <dcterms:created xsi:type="dcterms:W3CDTF">2015-06-05T18:17:20Z</dcterms:created>
  <dcterms:modified xsi:type="dcterms:W3CDTF">2026-03-18T18:53:47Z</dcterms:modified>
</cp:coreProperties>
</file>