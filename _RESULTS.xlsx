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jrodri81_colostate_edu/Documents/Research/NAWI/Git Simulink Folder/ARC/ARC_Complete/"/>
    </mc:Choice>
  </mc:AlternateContent>
  <xr:revisionPtr revIDLastSave="64" documentId="8_{CB6647EB-05F1-45A0-BC1B-750A79C684CE}" xr6:coauthVersionLast="47" xr6:coauthVersionMax="47" xr10:uidLastSave="{F34E3069-86EE-45EB-8135-72E893A21C66}"/>
  <bookViews>
    <workbookView xWindow="-108" yWindow="-108" windowWidth="30936" windowHeight="18696" firstSheet="5" activeTab="10" xr2:uid="{8FF3D5E1-9B29-4B1A-9851-9835225762E0}"/>
  </bookViews>
  <sheets>
    <sheet name="RelativeCostChange-Energy" sheetId="1" r:id="rId1"/>
    <sheet name="RelativeCostChange-Demand" sheetId="6" r:id="rId2"/>
    <sheet name="EnergyCosts-Raw" sheetId="2" r:id="rId3"/>
    <sheet name="EnergyCosts-$MG" sheetId="11" r:id="rId4"/>
    <sheet name="EnergyIntensity-kWhMG" sheetId="10" r:id="rId5"/>
    <sheet name="OnPeakDemandCharge" sheetId="4" r:id="rId6"/>
    <sheet name="OffPeakDemandCharges" sheetId="5" r:id="rId7"/>
    <sheet name="NetDemandCharges" sheetId="12" r:id="rId8"/>
    <sheet name="RESULTS-SolarResponse" sheetId="7" r:id="rId9"/>
    <sheet name="RESULTS-TOU" sheetId="9" r:id="rId10"/>
    <sheet name="RESULTS-Steady" sheetId="8" r:id="rId11"/>
    <sheet name="PermeateProduction" sheetId="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6"/>
  <c r="E3" i="2"/>
  <c r="E4" i="2"/>
  <c r="E5" i="2"/>
  <c r="E6" i="2"/>
  <c r="E7" i="2"/>
  <c r="E8" i="2"/>
  <c r="E9" i="2"/>
  <c r="E10" i="2"/>
  <c r="E2" i="2"/>
  <c r="E5" i="11"/>
  <c r="E6" i="11"/>
  <c r="E7" i="11"/>
  <c r="E8" i="11"/>
  <c r="E9" i="11"/>
  <c r="E10" i="11"/>
  <c r="E3" i="11"/>
  <c r="E4" i="11"/>
  <c r="E2" i="11"/>
  <c r="D4" i="10"/>
  <c r="D3" i="10"/>
  <c r="D2" i="10"/>
  <c r="E2" i="1"/>
  <c r="E3" i="4"/>
  <c r="E4" i="4"/>
  <c r="E5" i="4"/>
  <c r="E6" i="4"/>
  <c r="E7" i="4"/>
  <c r="E8" i="4"/>
  <c r="E9" i="4"/>
  <c r="E10" i="4"/>
  <c r="E10" i="12" s="1"/>
  <c r="E2" i="4"/>
  <c r="E3" i="5"/>
  <c r="E4" i="5"/>
  <c r="E5" i="5"/>
  <c r="E6" i="5"/>
  <c r="E7" i="5"/>
  <c r="E8" i="5"/>
  <c r="E9" i="5"/>
  <c r="E10" i="5"/>
  <c r="E2" i="5"/>
  <c r="E2" i="12" s="1"/>
  <c r="C6" i="11"/>
  <c r="C2" i="11"/>
  <c r="D9" i="1"/>
  <c r="C3" i="12"/>
  <c r="C3" i="6" s="1"/>
  <c r="D3" i="12"/>
  <c r="D3" i="6" s="1"/>
  <c r="D5" i="12"/>
  <c r="D5" i="6" s="1"/>
  <c r="D6" i="12"/>
  <c r="D6" i="6" s="1"/>
  <c r="E7" i="12"/>
  <c r="C10" i="12"/>
  <c r="C10" i="6" s="1"/>
  <c r="D10" i="12"/>
  <c r="D2" i="1"/>
  <c r="D3" i="1"/>
  <c r="D4" i="1"/>
  <c r="D5" i="1"/>
  <c r="D6" i="1"/>
  <c r="D7" i="1"/>
  <c r="D8" i="1"/>
  <c r="D10" i="1"/>
  <c r="C3" i="1"/>
  <c r="C4" i="1"/>
  <c r="C5" i="1"/>
  <c r="C6" i="1"/>
  <c r="C7" i="1"/>
  <c r="C8" i="1"/>
  <c r="C9" i="1"/>
  <c r="C10" i="1"/>
  <c r="D3" i="11"/>
  <c r="D4" i="11"/>
  <c r="D5" i="11"/>
  <c r="D6" i="11"/>
  <c r="D7" i="11"/>
  <c r="D8" i="11"/>
  <c r="D9" i="11"/>
  <c r="D10" i="11"/>
  <c r="D2" i="11"/>
  <c r="C3" i="11"/>
  <c r="C4" i="11"/>
  <c r="C5" i="11"/>
  <c r="C7" i="11"/>
  <c r="C8" i="11"/>
  <c r="C9" i="11"/>
  <c r="C10" i="11"/>
  <c r="C2" i="10"/>
  <c r="C3" i="10"/>
  <c r="C4" i="10"/>
  <c r="B2" i="10"/>
  <c r="B3" i="10"/>
  <c r="B4" i="10"/>
  <c r="C3" i="2"/>
  <c r="C4" i="2"/>
  <c r="C5" i="2"/>
  <c r="C6" i="2"/>
  <c r="C7" i="2"/>
  <c r="C8" i="2"/>
  <c r="C9" i="2"/>
  <c r="C10" i="2"/>
  <c r="C2" i="2"/>
  <c r="E6" i="12"/>
  <c r="D3" i="5"/>
  <c r="D4" i="5"/>
  <c r="D4" i="12" s="1"/>
  <c r="D4" i="6" s="1"/>
  <c r="D5" i="5"/>
  <c r="D6" i="5"/>
  <c r="D7" i="5"/>
  <c r="D7" i="12" s="1"/>
  <c r="D7" i="6" s="1"/>
  <c r="D8" i="5"/>
  <c r="D8" i="12" s="1"/>
  <c r="D8" i="6" s="1"/>
  <c r="D9" i="5"/>
  <c r="D9" i="12" s="1"/>
  <c r="D9" i="6" s="1"/>
  <c r="D10" i="5"/>
  <c r="D2" i="5"/>
  <c r="D2" i="12" s="1"/>
  <c r="D2" i="6" s="1"/>
  <c r="C2" i="5"/>
  <c r="C2" i="12" s="1"/>
  <c r="C3" i="5"/>
  <c r="C4" i="5"/>
  <c r="C4" i="12" s="1"/>
  <c r="C5" i="5"/>
  <c r="C5" i="12" s="1"/>
  <c r="C6" i="5"/>
  <c r="C6" i="12" s="1"/>
  <c r="C6" i="6" s="1"/>
  <c r="C7" i="5"/>
  <c r="C7" i="12" s="1"/>
  <c r="C7" i="6" s="1"/>
  <c r="C8" i="5"/>
  <c r="C8" i="12" s="1"/>
  <c r="C8" i="6" s="1"/>
  <c r="C9" i="5"/>
  <c r="C9" i="12" s="1"/>
  <c r="C9" i="6" s="1"/>
  <c r="C10" i="5"/>
  <c r="C3" i="4"/>
  <c r="C4" i="4"/>
  <c r="C5" i="4"/>
  <c r="C6" i="4"/>
  <c r="C7" i="4"/>
  <c r="C8" i="4"/>
  <c r="C9" i="4"/>
  <c r="C10" i="4"/>
  <c r="C2" i="4"/>
  <c r="E3" i="12"/>
  <c r="E8" i="12"/>
  <c r="E9" i="12"/>
  <c r="D3" i="4"/>
  <c r="D4" i="4"/>
  <c r="D5" i="4"/>
  <c r="D6" i="4"/>
  <c r="D7" i="4"/>
  <c r="D8" i="4"/>
  <c r="D9" i="4"/>
  <c r="D10" i="4"/>
  <c r="D2" i="4"/>
  <c r="D3" i="3"/>
  <c r="D4" i="3"/>
  <c r="D2" i="3"/>
  <c r="C4" i="6" l="1"/>
  <c r="C5" i="6"/>
  <c r="D10" i="6"/>
  <c r="E10" i="6"/>
  <c r="E9" i="6"/>
  <c r="E7" i="6"/>
  <c r="E8" i="6"/>
  <c r="E6" i="6"/>
  <c r="E3" i="6"/>
  <c r="E5" i="12"/>
  <c r="E5" i="6" s="1"/>
  <c r="E4" i="12"/>
  <c r="E4" i="6" s="1"/>
  <c r="C2" i="1"/>
</calcChain>
</file>

<file path=xl/sharedStrings.xml><?xml version="1.0" encoding="utf-8"?>
<sst xmlns="http://schemas.openxmlformats.org/spreadsheetml/2006/main" count="255" uniqueCount="45">
  <si>
    <t>High Solar</t>
  </si>
  <si>
    <t>Baseline Solar</t>
  </si>
  <si>
    <t>No Solar</t>
  </si>
  <si>
    <t>High TOU</t>
  </si>
  <si>
    <t>Baseline TOU</t>
  </si>
  <si>
    <t>No TOU</t>
  </si>
  <si>
    <t>Steady State Operations</t>
  </si>
  <si>
    <t>Solar-Responsive</t>
  </si>
  <si>
    <t>TOU-Responsive</t>
  </si>
  <si>
    <t>Modular Shutdown: Solar</t>
  </si>
  <si>
    <t>Modular Shutdown: TOU</t>
  </si>
  <si>
    <t>SteadyState</t>
  </si>
  <si>
    <t>Permeate Production</t>
  </si>
  <si>
    <t>-------------------------------------------------------------------------------------------------------------------------------------------------------------------------------</t>
  </si>
  <si>
    <t>Scenario</t>
  </si>
  <si>
    <t>TotalEnergy(kWh)</t>
  </si>
  <si>
    <t>OnPeakDem(kW)</t>
  </si>
  <si>
    <t>OffPeakDem(kW)</t>
  </si>
  <si>
    <t>OnPeakCharge($)</t>
  </si>
  <si>
    <t>OffPeakCharge($)</t>
  </si>
  <si>
    <t>TotalDemCharge($)</t>
  </si>
  <si>
    <t>TotalOpex($)</t>
  </si>
  <si>
    <t>HighTOU_baseSolar</t>
  </si>
  <si>
    <t>HighTOU_noSolar</t>
  </si>
  <si>
    <t>baseTOU_HighSolar</t>
  </si>
  <si>
    <t>baseTOU_NoSolar</t>
  </si>
  <si>
    <t>highTOU_HighSolar</t>
  </si>
  <si>
    <t>baseline</t>
  </si>
  <si>
    <t>staticTOU_BaseSolar</t>
  </si>
  <si>
    <t>staticTOU_HighSolar</t>
  </si>
  <si>
    <t>staticTOU_NoSolar</t>
  </si>
  <si>
    <t xml:space="preserve">Total Permeate Produced: 65.45 MGTotal Brine Produced: 5.24 MG&gt;&gt; </t>
  </si>
  <si>
    <t>Brine Production</t>
  </si>
  <si>
    <t xml:space="preserve">Total Permeate Produced: 59.62 MGTotal Brine Produced: 4.77 MG&gt;&gt; </t>
  </si>
  <si>
    <t xml:space="preserve">Total Permeate Produced: 59.51 MGTotal Brine Produced: 4.76 MG&gt;&gt; </t>
  </si>
  <si>
    <t>Total Recovery</t>
  </si>
  <si>
    <t>Solar</t>
  </si>
  <si>
    <t>TOU</t>
  </si>
  <si>
    <t>Total</t>
  </si>
  <si>
    <t>Permeate</t>
  </si>
  <si>
    <t>Produced:</t>
  </si>
  <si>
    <t>MGTotal</t>
  </si>
  <si>
    <t>Brine</t>
  </si>
  <si>
    <t>MG&gt;&gt;</t>
  </si>
  <si>
    <t>Pre-Startup Stabilization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</si>
</sst>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8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3" fillId="3" borderId="2" xfId="0" applyFont="1" applyFill="1" applyBorder="1"/>
    <xf numFmtId="0" fontId="3" fillId="3" borderId="0" xfId="0" applyFont="1" applyFill="1"/>
    <xf numFmtId="0" fontId="3" fillId="3" borderId="6" xfId="0" applyFont="1" applyFill="1" applyBorder="1"/>
    <xf numFmtId="44" fontId="3" fillId="0" borderId="2" xfId="2" applyFont="1" applyBorder="1"/>
    <xf numFmtId="44" fontId="3" fillId="0" borderId="3" xfId="2" applyFont="1" applyBorder="1"/>
    <xf numFmtId="44" fontId="3" fillId="0" borderId="0" xfId="2" applyFont="1" applyBorder="1"/>
    <xf numFmtId="44" fontId="3" fillId="0" borderId="6" xfId="2" applyFont="1" applyBorder="1"/>
    <xf numFmtId="44" fontId="0" fillId="0" borderId="0" xfId="2" applyFont="1"/>
    <xf numFmtId="0" fontId="3" fillId="3" borderId="10" xfId="0" applyFont="1" applyFill="1" applyBorder="1"/>
    <xf numFmtId="0" fontId="3" fillId="3" borderId="11" xfId="0" applyFont="1" applyFill="1" applyBorder="1"/>
    <xf numFmtId="0" fontId="3" fillId="0" borderId="12" xfId="0" applyFont="1" applyBorder="1"/>
    <xf numFmtId="9" fontId="4" fillId="0" borderId="13" xfId="0" applyNumberFormat="1" applyFont="1" applyBorder="1"/>
    <xf numFmtId="9" fontId="4" fillId="0" borderId="14" xfId="0" applyNumberFormat="1" applyFont="1" applyBorder="1"/>
    <xf numFmtId="0" fontId="5" fillId="0" borderId="0" xfId="0" applyFont="1" applyAlignment="1">
      <alignment horizontal="left" vertical="center"/>
    </xf>
    <xf numFmtId="4" fontId="0" fillId="0" borderId="0" xfId="0" applyNumberFormat="1"/>
    <xf numFmtId="4" fontId="2" fillId="2" borderId="0" xfId="4" applyNumberFormat="1"/>
    <xf numFmtId="0" fontId="2" fillId="2" borderId="0" xfId="4" applyAlignment="1">
      <alignment horizontal="left" vertical="center"/>
    </xf>
    <xf numFmtId="0" fontId="2" fillId="2" borderId="0" xfId="4"/>
    <xf numFmtId="10" fontId="0" fillId="0" borderId="0" xfId="3" applyNumberFormat="1" applyFont="1"/>
    <xf numFmtId="164" fontId="0" fillId="0" borderId="0" xfId="3" applyNumberFormat="1" applyFont="1"/>
    <xf numFmtId="44" fontId="3" fillId="0" borderId="2" xfId="2" applyFont="1" applyFill="1" applyBorder="1"/>
    <xf numFmtId="44" fontId="3" fillId="0" borderId="3" xfId="2" applyFont="1" applyFill="1" applyBorder="1"/>
    <xf numFmtId="43" fontId="3" fillId="0" borderId="2" xfId="1" applyFont="1" applyBorder="1"/>
    <xf numFmtId="43" fontId="3" fillId="0" borderId="3" xfId="1" applyFont="1" applyBorder="1"/>
    <xf numFmtId="0" fontId="3" fillId="3" borderId="8" xfId="0" applyFont="1" applyFill="1" applyBorder="1" applyAlignment="1">
      <alignment textRotation="90"/>
    </xf>
    <xf numFmtId="0" fontId="3" fillId="0" borderId="7" xfId="0" applyFont="1" applyBorder="1"/>
    <xf numFmtId="0" fontId="3" fillId="0" borderId="9" xfId="0" applyFont="1" applyBorder="1"/>
    <xf numFmtId="0" fontId="3" fillId="3" borderId="8" xfId="0" applyFont="1" applyFill="1" applyBorder="1"/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textRotation="90"/>
    </xf>
    <xf numFmtId="0" fontId="3" fillId="3" borderId="4" xfId="0" applyFont="1" applyFill="1" applyBorder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</cellXfs>
  <cellStyles count="5">
    <cellStyle name="Comma" xfId="1" builtinId="3"/>
    <cellStyle name="Currency" xfId="2" builtinId="4"/>
    <cellStyle name="Good" xfId="4" builtinId="2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01EB-0E4D-4CA5-8C3F-DD965EF20395}">
  <sheetPr>
    <tabColor theme="9"/>
  </sheetPr>
  <dimension ref="A1:E10"/>
  <sheetViews>
    <sheetView workbookViewId="0">
      <selection activeCell="E22" sqref="E22"/>
    </sheetView>
  </sheetViews>
  <sheetFormatPr defaultRowHeight="14.4" x14ac:dyDescent="0.3"/>
  <cols>
    <col min="1" max="1" width="12.33203125" customWidth="1"/>
    <col min="2" max="2" width="17.88671875" bestFit="1" customWidth="1"/>
    <col min="3" max="3" width="31.88671875" bestFit="1" customWidth="1"/>
    <col min="4" max="4" width="23.109375" bestFit="1" customWidth="1"/>
    <col min="5" max="5" width="21.88671875" bestFit="1" customWidth="1"/>
  </cols>
  <sheetData>
    <row r="1" spans="1:5" ht="21" x14ac:dyDescent="0.4">
      <c r="A1" s="27" t="s">
        <v>36</v>
      </c>
      <c r="B1" s="28" t="s">
        <v>37</v>
      </c>
      <c r="C1" s="12" t="s">
        <v>6</v>
      </c>
      <c r="D1" s="12" t="s">
        <v>7</v>
      </c>
      <c r="E1" s="12" t="s">
        <v>8</v>
      </c>
    </row>
    <row r="2" spans="1:5" ht="27" customHeight="1" x14ac:dyDescent="0.4">
      <c r="A2" s="26" t="s">
        <v>0</v>
      </c>
      <c r="B2" s="10" t="s">
        <v>3</v>
      </c>
      <c r="C2" s="13">
        <f>('EnergyCosts-$MG'!C2-'EnergyCosts-$MG'!$C$6)/'EnergyCosts-$MG'!$C$6</f>
        <v>-0.15394244365708695</v>
      </c>
      <c r="D2" s="13">
        <f>('EnergyCosts-$MG'!D2-'EnergyCosts-$MG'!$C$6)/'EnergyCosts-$MG'!$C$6</f>
        <v>-0.17148534639693613</v>
      </c>
      <c r="E2" s="13">
        <f>('EnergyCosts-$MG'!E2-'EnergyCosts-$MG'!$C$6)/'EnergyCosts-$MG'!$C$6</f>
        <v>-0.13451670731640836</v>
      </c>
    </row>
    <row r="3" spans="1:5" ht="27" customHeight="1" x14ac:dyDescent="0.4">
      <c r="A3" s="26" t="s">
        <v>0</v>
      </c>
      <c r="B3" s="10" t="s">
        <v>4</v>
      </c>
      <c r="C3" s="13">
        <f>('EnergyCosts-$MG'!C3-'EnergyCosts-$MG'!$C$6)/'EnergyCosts-$MG'!$C$6</f>
        <v>-0.15494100465935698</v>
      </c>
      <c r="D3" s="13">
        <f>('EnergyCosts-$MG'!D3-'EnergyCosts-$MG'!$C$6)/'EnergyCosts-$MG'!$C$6</f>
        <v>-0.17226639336169586</v>
      </c>
      <c r="E3" s="13">
        <f>('EnergyCosts-$MG'!E3-'EnergyCosts-$MG'!$C$6)/'EnergyCosts-$MG'!$C$6</f>
        <v>-0.12998162707745389</v>
      </c>
    </row>
    <row r="4" spans="1:5" ht="27" customHeight="1" x14ac:dyDescent="0.4">
      <c r="A4" s="26" t="s">
        <v>0</v>
      </c>
      <c r="B4" s="10" t="s">
        <v>5</v>
      </c>
      <c r="C4" s="13">
        <f>('EnergyCosts-$MG'!C4-'EnergyCosts-$MG'!$C$6)/'EnergyCosts-$MG'!$C$6</f>
        <v>-0.15873018703404204</v>
      </c>
      <c r="D4" s="13">
        <f>('EnergyCosts-$MG'!D4-'EnergyCosts-$MG'!$C$6)/'EnergyCosts-$MG'!$C$6</f>
        <v>-0.17522027774721602</v>
      </c>
      <c r="E4" s="13">
        <f>('EnergyCosts-$MG'!E4-'EnergyCosts-$MG'!$C$6)/'EnergyCosts-$MG'!$C$6</f>
        <v>-0.12249057336743323</v>
      </c>
    </row>
    <row r="5" spans="1:5" ht="27" customHeight="1" x14ac:dyDescent="0.4">
      <c r="A5" s="26" t="s">
        <v>1</v>
      </c>
      <c r="B5" s="10" t="s">
        <v>3</v>
      </c>
      <c r="C5" s="13">
        <f>('EnergyCosts-$MG'!C5-'EnergyCosts-$MG'!$C$6)/'EnergyCosts-$MG'!$C$6</f>
        <v>-5.010636457818767E-4</v>
      </c>
      <c r="D5" s="13">
        <f>('EnergyCosts-$MG'!D5-'EnergyCosts-$MG'!$C$6)/'EnergyCosts-$MG'!$C$6</f>
        <v>2.5013541865015605E-2</v>
      </c>
      <c r="E5" s="13">
        <f>('EnergyCosts-$MG'!E5-'EnergyCosts-$MG'!$C$6)/'EnergyCosts-$MG'!$C$6</f>
        <v>6.6103394047103026E-2</v>
      </c>
    </row>
    <row r="6" spans="1:5" ht="27" customHeight="1" x14ac:dyDescent="0.4">
      <c r="A6" s="26" t="s">
        <v>1</v>
      </c>
      <c r="B6" s="10" t="s">
        <v>4</v>
      </c>
      <c r="C6" s="13">
        <f>('EnergyCosts-$MG'!C6-'EnergyCosts-$MG'!$C$6)/'EnergyCosts-$MG'!$C$6</f>
        <v>0</v>
      </c>
      <c r="D6" s="13">
        <f>('EnergyCosts-$MG'!D6-'EnergyCosts-$MG'!$C$6)/'EnergyCosts-$MG'!$C$6</f>
        <v>2.6154770888712348E-2</v>
      </c>
      <c r="E6" s="13">
        <f>('EnergyCosts-$MG'!E6-'EnergyCosts-$MG'!$C$6)/'EnergyCosts-$MG'!$C$6</f>
        <v>7.271194565657027E-2</v>
      </c>
    </row>
    <row r="7" spans="1:5" ht="27" customHeight="1" x14ac:dyDescent="0.4">
      <c r="A7" s="26" t="s">
        <v>1</v>
      </c>
      <c r="B7" s="10" t="s">
        <v>5</v>
      </c>
      <c r="C7" s="13">
        <f>('EnergyCosts-$MG'!C7-'EnergyCosts-$MG'!$C$6)/'EnergyCosts-$MG'!$C$6</f>
        <v>-8.7730716628012391E-4</v>
      </c>
      <c r="D7" s="13">
        <f>('EnergyCosts-$MG'!D7-'EnergyCosts-$MG'!$C$6)/'EnergyCosts-$MG'!$C$6</f>
        <v>2.6927987808712524E-2</v>
      </c>
      <c r="E7" s="13">
        <f>('EnergyCosts-$MG'!E7-'EnergyCosts-$MG'!$C$6)/'EnergyCosts-$MG'!$C$6</f>
        <v>8.4245757831857032E-2</v>
      </c>
    </row>
    <row r="8" spans="1:5" ht="27" customHeight="1" x14ac:dyDescent="0.4">
      <c r="A8" s="26" t="s">
        <v>2</v>
      </c>
      <c r="B8" s="10" t="s">
        <v>3</v>
      </c>
      <c r="C8" s="13">
        <f>('EnergyCosts-$MG'!C8-'EnergyCosts-$MG'!$C$6)/'EnergyCosts-$MG'!$C$6</f>
        <v>4.5577177175035302E-2</v>
      </c>
      <c r="D8" s="13">
        <f>('EnergyCosts-$MG'!D8-'EnergyCosts-$MG'!$C$6)/'EnergyCosts-$MG'!$C$6</f>
        <v>8.4020759172583434E-2</v>
      </c>
      <c r="E8" s="13">
        <f>('EnergyCosts-$MG'!E8-'EnergyCosts-$MG'!$C$6)/'EnergyCosts-$MG'!$C$6</f>
        <v>0.12634846221242033</v>
      </c>
    </row>
    <row r="9" spans="1:5" ht="27" customHeight="1" x14ac:dyDescent="0.4">
      <c r="A9" s="26" t="s">
        <v>2</v>
      </c>
      <c r="B9" s="10" t="s">
        <v>4</v>
      </c>
      <c r="C9" s="13">
        <f>('EnergyCosts-$MG'!C9-'EnergyCosts-$MG'!$C$6)/'EnergyCosts-$MG'!$C$6</f>
        <v>4.65293764164856E-2</v>
      </c>
      <c r="D9" s="13">
        <f>('EnergyCosts-$MG'!D9-'EnergyCosts-$MG'!$C$6)/'EnergyCosts-$MG'!$C$6</f>
        <v>8.5739453997292908E-2</v>
      </c>
      <c r="E9" s="13">
        <f>('EnergyCosts-$MG'!E9-'EnergyCosts-$MG'!$C$6)/'EnergyCosts-$MG'!$C$6</f>
        <v>0.13358211947644621</v>
      </c>
    </row>
    <row r="10" spans="1:5" ht="27" customHeight="1" thickBot="1" x14ac:dyDescent="0.45">
      <c r="A10" s="26" t="s">
        <v>2</v>
      </c>
      <c r="B10" s="11" t="s">
        <v>5</v>
      </c>
      <c r="C10" s="13">
        <f>('EnergyCosts-$MG'!C10-'EnergyCosts-$MG'!$C$6)/'EnergyCosts-$MG'!$C$6</f>
        <v>4.6525810127191709E-2</v>
      </c>
      <c r="D10" s="13">
        <f>('EnergyCosts-$MG'!D10-'EnergyCosts-$MG'!$C$6)/'EnergyCosts-$MG'!$C$6</f>
        <v>8.7634324829091115E-2</v>
      </c>
      <c r="E10" s="13">
        <f>('EnergyCosts-$MG'!E10-'EnergyCosts-$MG'!$C$6)/'EnergyCosts-$MG'!$C$6</f>
        <v>0.14632937203999369</v>
      </c>
    </row>
  </sheetData>
  <conditionalFormatting sqref="C2:E1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AD72-F506-4264-AC4C-1F19B6F2FEAD}">
  <sheetPr>
    <tabColor theme="9"/>
  </sheetPr>
  <dimension ref="A1:E10"/>
  <sheetViews>
    <sheetView workbookViewId="0">
      <selection activeCell="E3" sqref="E3"/>
    </sheetView>
  </sheetViews>
  <sheetFormatPr defaultRowHeight="14.4" x14ac:dyDescent="0.3"/>
  <cols>
    <col min="1" max="1" width="7.6640625" bestFit="1" customWidth="1"/>
    <col min="2" max="2" width="17.88671875" bestFit="1" customWidth="1"/>
    <col min="3" max="3" width="31.88671875" bestFit="1" customWidth="1"/>
    <col min="4" max="4" width="23.109375" bestFit="1" customWidth="1"/>
    <col min="5" max="5" width="21.88671875" bestFit="1" customWidth="1"/>
  </cols>
  <sheetData>
    <row r="1" spans="1:5" ht="21" x14ac:dyDescent="0.4">
      <c r="A1" s="27" t="s">
        <v>36</v>
      </c>
      <c r="B1" s="28" t="s">
        <v>37</v>
      </c>
      <c r="C1" s="12" t="s">
        <v>6</v>
      </c>
      <c r="D1" s="12" t="s">
        <v>7</v>
      </c>
      <c r="E1" s="12" t="s">
        <v>8</v>
      </c>
    </row>
    <row r="2" spans="1:5" ht="75.599999999999994" x14ac:dyDescent="0.4">
      <c r="A2" s="26" t="s">
        <v>0</v>
      </c>
      <c r="B2" s="10" t="s">
        <v>3</v>
      </c>
      <c r="C2" s="13">
        <v>0</v>
      </c>
      <c r="D2" s="13">
        <f>(NetDemandCharges!D2-NetDemandCharges!$C$6)/NetDemandCharges!$C$6</f>
        <v>2.087501340592221E-2</v>
      </c>
      <c r="E2" s="13">
        <f>(NetDemandCharges!E2-NetDemandCharges!$C$6)/NetDemandCharges!$C$6</f>
        <v>-0.20067600901211807</v>
      </c>
    </row>
    <row r="3" spans="1:5" ht="75.599999999999994" x14ac:dyDescent="0.4">
      <c r="A3" s="26" t="s">
        <v>0</v>
      </c>
      <c r="B3" s="10" t="s">
        <v>4</v>
      </c>
      <c r="C3" s="13">
        <f>(NetDemandCharges!C3-NetDemandCharges!$C$6)/NetDemandCharges!$C$6</f>
        <v>-9.7040097582455753E-5</v>
      </c>
      <c r="D3" s="13">
        <f>(NetDemandCharges!D3-NetDemandCharges!$C$6)/NetDemandCharges!$C$6</f>
        <v>2.087501340592221E-2</v>
      </c>
      <c r="E3" s="13">
        <f>(NetDemandCharges!E3-NetDemandCharges!$C$6)/NetDemandCharges!$C$6</f>
        <v>-0.20067600901211807</v>
      </c>
    </row>
    <row r="4" spans="1:5" ht="75.599999999999994" x14ac:dyDescent="0.4">
      <c r="A4" s="26" t="s">
        <v>0</v>
      </c>
      <c r="B4" s="10" t="s">
        <v>5</v>
      </c>
      <c r="C4" s="13">
        <f>(NetDemandCharges!C4-NetDemandCharges!$C$6)/NetDemandCharges!$C$6</f>
        <v>-9.7040097582455753E-5</v>
      </c>
      <c r="D4" s="13">
        <f>(NetDemandCharges!D4-NetDemandCharges!$C$6)/NetDemandCharges!$C$6</f>
        <v>2.087501340592221E-2</v>
      </c>
      <c r="E4" s="13">
        <f>(NetDemandCharges!E4-NetDemandCharges!$C$6)/NetDemandCharges!$C$6</f>
        <v>-0.20067600901211807</v>
      </c>
    </row>
    <row r="5" spans="1:5" ht="103.2" x14ac:dyDescent="0.4">
      <c r="A5" s="26" t="s">
        <v>1</v>
      </c>
      <c r="B5" s="10" t="s">
        <v>3</v>
      </c>
      <c r="C5" s="13">
        <f>(NetDemandCharges!C5-NetDemandCharges!$C$6)/NetDemandCharges!$C$6</f>
        <v>0</v>
      </c>
      <c r="D5" s="13">
        <f>(NetDemandCharges!D5-NetDemandCharges!$C$6)/NetDemandCharges!$C$6</f>
        <v>2.9488747162847911E-2</v>
      </c>
      <c r="E5" s="13">
        <f>(NetDemandCharges!E5-NetDemandCharges!$C$6)/NetDemandCharges!$C$6</f>
        <v>-0.11109863461987053</v>
      </c>
    </row>
    <row r="6" spans="1:5" ht="103.2" x14ac:dyDescent="0.4">
      <c r="A6" s="26" t="s">
        <v>1</v>
      </c>
      <c r="B6" s="10" t="s">
        <v>4</v>
      </c>
      <c r="C6" s="13">
        <f>(NetDemandCharges!C6-NetDemandCharges!$C$6)/NetDemandCharges!$C$6</f>
        <v>0</v>
      </c>
      <c r="D6" s="13">
        <f>(NetDemandCharges!D6-NetDemandCharges!$C$6)/NetDemandCharges!$C$6</f>
        <v>2.9488747162847911E-2</v>
      </c>
      <c r="E6" s="13">
        <f>(NetDemandCharges!E6-NetDemandCharges!$C$6)/NetDemandCharges!$C$6</f>
        <v>-0.11109863461987053</v>
      </c>
    </row>
    <row r="7" spans="1:5" ht="103.2" x14ac:dyDescent="0.4">
      <c r="A7" s="26" t="s">
        <v>1</v>
      </c>
      <c r="B7" s="10" t="s">
        <v>5</v>
      </c>
      <c r="C7" s="13">
        <f>(NetDemandCharges!C7-NetDemandCharges!$C$6)/NetDemandCharges!$C$6</f>
        <v>0</v>
      </c>
      <c r="D7" s="13">
        <f>(NetDemandCharges!D7-NetDemandCharges!$C$6)/NetDemandCharges!$C$6</f>
        <v>2.9488747162847911E-2</v>
      </c>
      <c r="E7" s="13">
        <f>(NetDemandCharges!E7-NetDemandCharges!$C$6)/NetDemandCharges!$C$6</f>
        <v>-0.11109863461987053</v>
      </c>
    </row>
    <row r="8" spans="1:5" ht="63" x14ac:dyDescent="0.4">
      <c r="A8" s="26" t="s">
        <v>2</v>
      </c>
      <c r="B8" s="10" t="s">
        <v>3</v>
      </c>
      <c r="C8" s="13">
        <f>(NetDemandCharges!C8-NetDemandCharges!$C$6)/NetDemandCharges!$C$6</f>
        <v>3.4202315291537096E-5</v>
      </c>
      <c r="D8" s="13">
        <f>(NetDemandCharges!D8-NetDemandCharges!$C$6)/NetDemandCharges!$C$6</f>
        <v>4.4710513456207496E-2</v>
      </c>
      <c r="E8" s="13">
        <f>(NetDemandCharges!E8-NetDemandCharges!$C$6)/NetDemandCharges!$C$6</f>
        <v>-8.1032562724066531E-2</v>
      </c>
    </row>
    <row r="9" spans="1:5" ht="63" x14ac:dyDescent="0.4">
      <c r="A9" s="26" t="s">
        <v>2</v>
      </c>
      <c r="B9" s="10" t="s">
        <v>4</v>
      </c>
      <c r="C9" s="13">
        <f>(NetDemandCharges!C9-NetDemandCharges!$C$6)/NetDemandCharges!$C$6</f>
        <v>3.4202315291537096E-5</v>
      </c>
      <c r="D9" s="13">
        <f>(NetDemandCharges!D9-NetDemandCharges!$C$6)/NetDemandCharges!$C$6</f>
        <v>4.4710513456207496E-2</v>
      </c>
      <c r="E9" s="13">
        <f>(NetDemandCharges!E9-NetDemandCharges!$C$6)/NetDemandCharges!$C$6</f>
        <v>-8.1032562724066531E-2</v>
      </c>
    </row>
    <row r="10" spans="1:5" ht="63.6" thickBot="1" x14ac:dyDescent="0.45">
      <c r="A10" s="26" t="s">
        <v>2</v>
      </c>
      <c r="B10" s="11" t="s">
        <v>5</v>
      </c>
      <c r="C10" s="14">
        <f>(NetDemandCharges!C10-NetDemandCharges!$C$6)/NetDemandCharges!$C$6</f>
        <v>3.4202315291537096E-5</v>
      </c>
      <c r="D10" s="13">
        <f>(NetDemandCharges!D10-NetDemandCharges!$C$6)/NetDemandCharges!$C$6</f>
        <v>4.4710513456207496E-2</v>
      </c>
      <c r="E10" s="13">
        <f>(NetDemandCharges!E10-NetDemandCharges!$C$6)/NetDemandCharges!$C$6</f>
        <v>-8.1032562724066531E-2</v>
      </c>
    </row>
  </sheetData>
  <conditionalFormatting sqref="C2:E1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0765-1703-4684-AA7F-F4E75E750C15}">
  <sheetPr>
    <tabColor rgb="FFFFC000"/>
  </sheetPr>
  <dimension ref="A1:I24"/>
  <sheetViews>
    <sheetView workbookViewId="0">
      <selection activeCell="H9" sqref="H9"/>
    </sheetView>
  </sheetViews>
  <sheetFormatPr defaultRowHeight="14.4" x14ac:dyDescent="0.3"/>
  <cols>
    <col min="1" max="1" width="11.88671875" customWidth="1"/>
    <col min="2" max="2" width="17.88671875" bestFit="1" customWidth="1"/>
    <col min="3" max="3" width="32" bestFit="1" customWidth="1"/>
    <col min="4" max="4" width="23.21875" bestFit="1" customWidth="1"/>
    <col min="5" max="5" width="22" bestFit="1" customWidth="1"/>
    <col min="6" max="6" width="9" bestFit="1" customWidth="1"/>
    <col min="7" max="8" width="9.109375" bestFit="1" customWidth="1"/>
    <col min="9" max="9" width="9" bestFit="1" customWidth="1"/>
  </cols>
  <sheetData>
    <row r="1" spans="1:9" ht="17.399999999999999" customHeight="1" thickBot="1" x14ac:dyDescent="0.45">
      <c r="A1" s="27" t="s">
        <v>36</v>
      </c>
      <c r="B1" s="28" t="s">
        <v>37</v>
      </c>
      <c r="C1" s="1" t="s">
        <v>6</v>
      </c>
      <c r="D1" s="1" t="s">
        <v>7</v>
      </c>
      <c r="E1" s="1" t="s">
        <v>8</v>
      </c>
    </row>
    <row r="2" spans="1:9" ht="43.8" customHeight="1" thickBot="1" x14ac:dyDescent="0.45">
      <c r="A2" s="26" t="s">
        <v>0</v>
      </c>
      <c r="B2" s="10" t="s">
        <v>3</v>
      </c>
      <c r="C2" s="5">
        <f>'RESULTS-Steady'!H4</f>
        <v>4744.75</v>
      </c>
      <c r="D2" s="5">
        <v>4232.49</v>
      </c>
      <c r="E2" s="6">
        <f>'RESULTS-TOU'!H3</f>
        <v>4236.6899999999996</v>
      </c>
    </row>
    <row r="3" spans="1:9" ht="43.8" customHeight="1" thickBot="1" x14ac:dyDescent="0.45">
      <c r="A3" s="26" t="s">
        <v>0</v>
      </c>
      <c r="B3" s="10" t="s">
        <v>4</v>
      </c>
      <c r="C3" s="5">
        <f>'RESULTS-Steady'!H5</f>
        <v>4739.1499999999996</v>
      </c>
      <c r="D3" s="7">
        <v>4228.75</v>
      </c>
      <c r="E3" s="6">
        <f>'RESULTS-TOU'!H4</f>
        <v>4258.8900000000003</v>
      </c>
    </row>
    <row r="4" spans="1:9" ht="43.8" customHeight="1" thickBot="1" x14ac:dyDescent="0.45">
      <c r="A4" s="26" t="s">
        <v>0</v>
      </c>
      <c r="B4" s="10" t="s">
        <v>5</v>
      </c>
      <c r="C4" s="5">
        <f>'RESULTS-Steady'!H6</f>
        <v>4717.8999999999996</v>
      </c>
      <c r="D4" s="8">
        <v>4213.41</v>
      </c>
      <c r="E4" s="6">
        <f>'RESULTS-TOU'!H5</f>
        <v>4295.5600000000004</v>
      </c>
    </row>
    <row r="5" spans="1:9" ht="43.8" customHeight="1" thickBot="1" x14ac:dyDescent="0.45">
      <c r="A5" s="26" t="s">
        <v>1</v>
      </c>
      <c r="B5" s="10" t="s">
        <v>3</v>
      </c>
      <c r="C5" s="5">
        <f>'RESULTS-Steady'!H7</f>
        <v>5605.26</v>
      </c>
      <c r="D5" s="5">
        <v>5236.3100000000004</v>
      </c>
      <c r="E5" s="6">
        <f>'RESULTS-TOU'!H6</f>
        <v>5218.76</v>
      </c>
    </row>
    <row r="6" spans="1:9" ht="43.8" customHeight="1" thickBot="1" x14ac:dyDescent="0.45">
      <c r="A6" s="26" t="s">
        <v>1</v>
      </c>
      <c r="B6" s="10" t="s">
        <v>4</v>
      </c>
      <c r="C6" s="5">
        <f>'RESULTS-Steady'!H8</f>
        <v>5608.07</v>
      </c>
      <c r="D6" s="9">
        <v>5242.1400000000003</v>
      </c>
      <c r="E6" s="6">
        <f>'RESULTS-TOU'!H7</f>
        <v>5251.11</v>
      </c>
    </row>
    <row r="7" spans="1:9" ht="43.8" customHeight="1" thickBot="1" x14ac:dyDescent="0.45">
      <c r="A7" s="26" t="s">
        <v>1</v>
      </c>
      <c r="B7" s="10" t="s">
        <v>5</v>
      </c>
      <c r="C7" s="5">
        <f>'RESULTS-Steady'!H9</f>
        <v>5603.15</v>
      </c>
      <c r="D7" s="8">
        <v>5246.09</v>
      </c>
      <c r="E7" s="6">
        <f>'RESULTS-TOU'!H8</f>
        <v>5307.57</v>
      </c>
    </row>
    <row r="8" spans="1:9" ht="43.8" customHeight="1" thickBot="1" x14ac:dyDescent="0.45">
      <c r="A8" s="26" t="s">
        <v>2</v>
      </c>
      <c r="B8" s="10" t="s">
        <v>3</v>
      </c>
      <c r="C8" s="5">
        <f>'RESULTS-Steady'!H10</f>
        <v>5863.67</v>
      </c>
      <c r="D8" s="5">
        <v>5537.75</v>
      </c>
      <c r="E8" s="6">
        <f>'RESULTS-TOU'!H9</f>
        <v>5513.67</v>
      </c>
    </row>
    <row r="9" spans="1:9" ht="43.8" customHeight="1" thickBot="1" x14ac:dyDescent="0.45">
      <c r="A9" s="26" t="s">
        <v>2</v>
      </c>
      <c r="B9" s="10" t="s">
        <v>4</v>
      </c>
      <c r="C9" s="5">
        <f>'RESULTS-Steady'!H11</f>
        <v>5869.01</v>
      </c>
      <c r="D9" s="7">
        <v>5546.53</v>
      </c>
      <c r="E9" s="6">
        <f>'RESULTS-TOU'!H10</f>
        <v>5549.08</v>
      </c>
    </row>
    <row r="10" spans="1:9" ht="43.8" customHeight="1" thickBot="1" x14ac:dyDescent="0.45">
      <c r="A10" s="26" t="s">
        <v>2</v>
      </c>
      <c r="B10" s="11" t="s">
        <v>5</v>
      </c>
      <c r="C10" s="5">
        <f>'RESULTS-Steady'!H12</f>
        <v>5868.99</v>
      </c>
      <c r="D10" s="8">
        <v>5556.21</v>
      </c>
      <c r="E10" s="6">
        <f>'RESULTS-TOU'!H11</f>
        <v>5611.48</v>
      </c>
    </row>
    <row r="14" spans="1:9" x14ac:dyDescent="0.3">
      <c r="B14" s="15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</row>
    <row r="15" spans="1:9" x14ac:dyDescent="0.3">
      <c r="B15" s="15" t="s">
        <v>13</v>
      </c>
    </row>
    <row r="16" spans="1:9" x14ac:dyDescent="0.3">
      <c r="B16" s="15" t="s">
        <v>22</v>
      </c>
      <c r="C16" s="16">
        <v>141847.76</v>
      </c>
      <c r="D16" s="16">
        <v>1382.19</v>
      </c>
      <c r="E16" s="16">
        <v>1395.41</v>
      </c>
      <c r="F16" s="16">
        <v>4519.82</v>
      </c>
      <c r="G16" s="16">
        <v>33032.26</v>
      </c>
      <c r="H16" s="16">
        <v>37552.080000000002</v>
      </c>
      <c r="I16" s="17">
        <v>5236.3100000000004</v>
      </c>
    </row>
    <row r="17" spans="2:9" x14ac:dyDescent="0.3">
      <c r="B17" s="15" t="s">
        <v>23</v>
      </c>
      <c r="C17" s="16">
        <v>150233.87</v>
      </c>
      <c r="D17" s="16">
        <v>1382.21</v>
      </c>
      <c r="E17" s="16">
        <v>1418.91</v>
      </c>
      <c r="F17" s="16">
        <v>4519.82</v>
      </c>
      <c r="G17" s="16">
        <v>33032.26</v>
      </c>
      <c r="H17" s="16">
        <v>37552.080000000002</v>
      </c>
      <c r="I17" s="17">
        <v>5537.75</v>
      </c>
    </row>
    <row r="18" spans="2:9" x14ac:dyDescent="0.3">
      <c r="B18" s="15" t="s">
        <v>24</v>
      </c>
      <c r="C18" s="16">
        <v>113922.04</v>
      </c>
      <c r="D18" s="16">
        <v>1382.12</v>
      </c>
      <c r="E18" s="16">
        <v>1382.12</v>
      </c>
      <c r="F18" s="16">
        <v>4519.82</v>
      </c>
      <c r="G18" s="16">
        <v>33032.26</v>
      </c>
      <c r="H18" s="16">
        <v>37552.080000000002</v>
      </c>
      <c r="I18" s="17">
        <v>4228.5</v>
      </c>
    </row>
    <row r="19" spans="2:9" s="19" customFormat="1" x14ac:dyDescent="0.3">
      <c r="B19" s="18" t="s">
        <v>25</v>
      </c>
      <c r="C19" s="17">
        <v>150233.87</v>
      </c>
      <c r="D19" s="17">
        <v>1382.21</v>
      </c>
      <c r="E19" s="17">
        <v>1418.91</v>
      </c>
      <c r="F19" s="17">
        <v>4519.82</v>
      </c>
      <c r="G19" s="17">
        <v>33032.26</v>
      </c>
      <c r="H19" s="17">
        <v>37552.080000000002</v>
      </c>
      <c r="I19" s="17">
        <v>5546.53</v>
      </c>
    </row>
    <row r="20" spans="2:9" x14ac:dyDescent="0.3">
      <c r="B20" s="15" t="s">
        <v>26</v>
      </c>
      <c r="C20" s="16">
        <v>113922.04</v>
      </c>
      <c r="D20" s="16">
        <v>1382.12</v>
      </c>
      <c r="E20" s="16">
        <v>1382.12</v>
      </c>
      <c r="F20" s="16">
        <v>4519.82</v>
      </c>
      <c r="G20" s="16">
        <v>33032.26</v>
      </c>
      <c r="H20" s="16">
        <v>37552.080000000002</v>
      </c>
      <c r="I20" s="16">
        <v>4232.49</v>
      </c>
    </row>
    <row r="21" spans="2:9" x14ac:dyDescent="0.3">
      <c r="B21" s="15" t="s">
        <v>27</v>
      </c>
      <c r="C21" s="16">
        <v>141847.76</v>
      </c>
      <c r="D21" s="16">
        <v>1382.19</v>
      </c>
      <c r="E21" s="16">
        <v>1395.41</v>
      </c>
      <c r="F21" s="16">
        <v>4519.82</v>
      </c>
      <c r="G21" s="16">
        <v>33032.26</v>
      </c>
      <c r="H21" s="16">
        <v>37552.080000000002</v>
      </c>
      <c r="I21" s="16">
        <v>5242.1400000000003</v>
      </c>
    </row>
    <row r="22" spans="2:9" x14ac:dyDescent="0.3">
      <c r="B22" s="15" t="s">
        <v>28</v>
      </c>
      <c r="C22" s="16">
        <v>141847.76</v>
      </c>
      <c r="D22" s="16">
        <v>1382.19</v>
      </c>
      <c r="E22" s="16">
        <v>1395.41</v>
      </c>
      <c r="F22" s="16">
        <v>4519.82</v>
      </c>
      <c r="G22" s="16">
        <v>33032.26</v>
      </c>
      <c r="H22" s="16">
        <v>37552.080000000002</v>
      </c>
      <c r="I22" s="16">
        <v>5246.09</v>
      </c>
    </row>
    <row r="23" spans="2:9" x14ac:dyDescent="0.3">
      <c r="B23" s="15" t="s">
        <v>29</v>
      </c>
      <c r="C23" s="16">
        <v>113922.04</v>
      </c>
      <c r="D23" s="16">
        <v>1382.12</v>
      </c>
      <c r="E23" s="16">
        <v>1382.12</v>
      </c>
      <c r="F23" s="16">
        <v>4519.82</v>
      </c>
      <c r="G23" s="16">
        <v>33032.26</v>
      </c>
      <c r="H23" s="16">
        <v>37552.080000000002</v>
      </c>
      <c r="I23" s="16">
        <v>4213.41</v>
      </c>
    </row>
    <row r="24" spans="2:9" x14ac:dyDescent="0.3">
      <c r="B24" s="15" t="s">
        <v>30</v>
      </c>
      <c r="C24" s="16">
        <v>150233.87</v>
      </c>
      <c r="D24" s="16">
        <v>1382.21</v>
      </c>
      <c r="E24" s="16">
        <v>1418.91</v>
      </c>
      <c r="F24" s="16">
        <v>4519.82</v>
      </c>
      <c r="G24" s="16">
        <v>33032.26</v>
      </c>
      <c r="H24" s="16">
        <v>37552.080000000002</v>
      </c>
      <c r="I24" s="16">
        <v>5556.21</v>
      </c>
    </row>
  </sheetData>
  <conditionalFormatting sqref="C2:E2 D7:E10 D3:E5 C3:C10 E3:E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E1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A774-E4C1-4FB8-8CD9-0B5913FF65FF}">
  <sheetPr>
    <tabColor rgb="FFFFC000"/>
  </sheetPr>
  <dimension ref="A1:I24"/>
  <sheetViews>
    <sheetView workbookViewId="0">
      <selection activeCell="E18" sqref="E18"/>
    </sheetView>
  </sheetViews>
  <sheetFormatPr defaultRowHeight="14.4" x14ac:dyDescent="0.3"/>
  <cols>
    <col min="1" max="1" width="5" bestFit="1" customWidth="1"/>
    <col min="2" max="2" width="17.88671875" bestFit="1" customWidth="1"/>
    <col min="3" max="3" width="32" bestFit="1" customWidth="1"/>
    <col min="4" max="4" width="23.21875" bestFit="1" customWidth="1"/>
    <col min="5" max="5" width="22" bestFit="1" customWidth="1"/>
    <col min="6" max="6" width="9" bestFit="1" customWidth="1"/>
    <col min="7" max="8" width="9.109375" bestFit="1" customWidth="1"/>
    <col min="9" max="9" width="9" bestFit="1" customWidth="1"/>
  </cols>
  <sheetData>
    <row r="1" spans="1:9" ht="21.6" thickBot="1" x14ac:dyDescent="0.45">
      <c r="A1" s="27" t="s">
        <v>36</v>
      </c>
      <c r="B1" s="28" t="s">
        <v>37</v>
      </c>
      <c r="C1" s="1" t="s">
        <v>6</v>
      </c>
      <c r="D1" s="1" t="s">
        <v>7</v>
      </c>
      <c r="E1" s="1" t="s">
        <v>8</v>
      </c>
    </row>
    <row r="2" spans="1:9" ht="43.8" customHeight="1" thickBot="1" x14ac:dyDescent="0.45">
      <c r="A2" s="26" t="s">
        <v>0</v>
      </c>
      <c r="B2" s="10" t="s">
        <v>3</v>
      </c>
      <c r="C2" s="24">
        <f>'RESULTS-Steady'!H4/PermeateProduction!B$2</f>
        <v>72.494270435446907</v>
      </c>
      <c r="D2" s="24">
        <f>'RESULTS-SolarResponse'!H3/PermeateProduction!B$3</f>
        <v>70.991110365649106</v>
      </c>
      <c r="E2" s="25">
        <f>'RESULTS-TOU'!H3/PermeateProduction!B$4</f>
        <v>74.158760721162253</v>
      </c>
      <c r="F2" s="21"/>
    </row>
    <row r="3" spans="1:9" ht="43.8" customHeight="1" thickBot="1" x14ac:dyDescent="0.45">
      <c r="A3" s="26" t="s">
        <v>0</v>
      </c>
      <c r="B3" s="10" t="s">
        <v>4</v>
      </c>
      <c r="C3" s="24">
        <f>'RESULTS-Steady'!H5/PermeateProduction!B$2</f>
        <v>72.408708938120697</v>
      </c>
      <c r="D3" s="24">
        <f>'RESULTS-SolarResponse'!H4/PermeateProduction!B$3</f>
        <v>70.924186514592421</v>
      </c>
      <c r="E3" s="25">
        <f>'RESULTS-TOU'!H4/PermeateProduction!B$4</f>
        <v>74.547348153334497</v>
      </c>
    </row>
    <row r="4" spans="1:9" ht="43.8" customHeight="1" thickBot="1" x14ac:dyDescent="0.45">
      <c r="A4" s="26" t="s">
        <v>0</v>
      </c>
      <c r="B4" s="10" t="s">
        <v>5</v>
      </c>
      <c r="C4" s="24">
        <f>'RESULTS-Steady'!H6/PermeateProduction!B$2</f>
        <v>72.084033613445371</v>
      </c>
      <c r="D4" s="24">
        <f>'RESULTS-SolarResponse'!H5/PermeateProduction!B$3</f>
        <v>70.67108352901711</v>
      </c>
      <c r="E4" s="25">
        <f>'RESULTS-TOU'!H5/PermeateProduction!B$4</f>
        <v>75.189217573954139</v>
      </c>
    </row>
    <row r="5" spans="1:9" ht="43.8" customHeight="1" thickBot="1" x14ac:dyDescent="0.45">
      <c r="A5" s="26" t="s">
        <v>1</v>
      </c>
      <c r="B5" s="10" t="s">
        <v>3</v>
      </c>
      <c r="C5" s="24">
        <f>'RESULTS-Steady'!H7/PermeateProduction!B$2</f>
        <v>85.641864018334601</v>
      </c>
      <c r="D5" s="24">
        <f>'RESULTS-SolarResponse'!H6/PermeateProduction!B$3</f>
        <v>87.828077826232814</v>
      </c>
      <c r="E5" s="25">
        <f>'RESULTS-TOU'!H6/PermeateProduction!B$4</f>
        <v>91.348853492035701</v>
      </c>
    </row>
    <row r="6" spans="1:9" ht="43.8" customHeight="1" thickBot="1" x14ac:dyDescent="0.45">
      <c r="A6" s="26" t="s">
        <v>1</v>
      </c>
      <c r="B6" s="10" t="s">
        <v>4</v>
      </c>
      <c r="C6" s="24">
        <f>'RESULTS-Steady'!H8/PermeateProduction!B$2</f>
        <v>85.684797555385785</v>
      </c>
      <c r="D6" s="24">
        <f>'RESULTS-SolarResponse'!H7/PermeateProduction!B$3</f>
        <v>87.9258638040926</v>
      </c>
      <c r="E6" s="25">
        <f>'RESULTS-TOU'!H7/PermeateProduction!B$4</f>
        <v>91.915105898827221</v>
      </c>
    </row>
    <row r="7" spans="1:9" ht="43.8" customHeight="1" thickBot="1" x14ac:dyDescent="0.45">
      <c r="A7" s="26" t="s">
        <v>1</v>
      </c>
      <c r="B7" s="10" t="s">
        <v>5</v>
      </c>
      <c r="C7" s="24">
        <f>'RESULTS-Steady'!H9/PermeateProduction!B$2</f>
        <v>85.609625668449183</v>
      </c>
      <c r="D7" s="24">
        <f>'RESULTS-SolarResponse'!H8/PermeateProduction!B$3</f>
        <v>87.992116739349214</v>
      </c>
      <c r="E7" s="25">
        <f>'RESULTS-TOU'!H8/PermeateProduction!B$4</f>
        <v>92.903378260108511</v>
      </c>
    </row>
    <row r="8" spans="1:9" ht="43.8" customHeight="1" thickBot="1" x14ac:dyDescent="0.45">
      <c r="A8" s="26" t="s">
        <v>2</v>
      </c>
      <c r="B8" s="10" t="s">
        <v>3</v>
      </c>
      <c r="C8" s="24">
        <f>'RESULTS-Steady'!H10/PermeateProduction!B$2</f>
        <v>89.590068754774634</v>
      </c>
      <c r="D8" s="24">
        <f>'RESULTS-SolarResponse'!H9/PermeateProduction!B$3</f>
        <v>92.884099295538419</v>
      </c>
      <c r="E8" s="25">
        <f>'RESULTS-TOU'!H9/PermeateProduction!B$4</f>
        <v>96.510939961491331</v>
      </c>
    </row>
    <row r="9" spans="1:9" ht="43.8" customHeight="1" thickBot="1" x14ac:dyDescent="0.45">
      <c r="A9" s="26" t="s">
        <v>2</v>
      </c>
      <c r="B9" s="10" t="s">
        <v>4</v>
      </c>
      <c r="C9" s="24">
        <f>'RESULTS-Steady'!H11/PermeateProduction!B$2</f>
        <v>89.671657754010695</v>
      </c>
      <c r="D9" s="24">
        <f>'RESULTS-SolarResponse'!H10/PermeateProduction!B$3</f>
        <v>93.03136531365314</v>
      </c>
      <c r="E9" s="25">
        <f>'RESULTS-TOU'!H10/PermeateProduction!B$4</f>
        <v>97.130754419744434</v>
      </c>
    </row>
    <row r="10" spans="1:9" ht="43.8" customHeight="1" thickBot="1" x14ac:dyDescent="0.45">
      <c r="A10" s="26" t="s">
        <v>2</v>
      </c>
      <c r="B10" s="11" t="s">
        <v>5</v>
      </c>
      <c r="C10" s="24">
        <f>'RESULTS-Steady'!H12/PermeateProduction!B$2</f>
        <v>89.671352177234525</v>
      </c>
      <c r="D10" s="24">
        <f>'RESULTS-SolarResponse'!H11/PermeateProduction!B$3</f>
        <v>93.193726937269375</v>
      </c>
      <c r="E10" s="25">
        <f>'RESULTS-TOU'!H11/PermeateProduction!B$4</f>
        <v>98.223000175039374</v>
      </c>
    </row>
    <row r="14" spans="1:9" x14ac:dyDescent="0.3">
      <c r="B14" s="15"/>
    </row>
    <row r="15" spans="1:9" x14ac:dyDescent="0.3">
      <c r="B15" s="15"/>
    </row>
    <row r="16" spans="1:9" x14ac:dyDescent="0.3">
      <c r="B16" s="15"/>
      <c r="C16" s="16"/>
      <c r="D16" s="16"/>
      <c r="E16" s="16"/>
      <c r="F16" s="16"/>
      <c r="G16" s="16"/>
      <c r="H16" s="16"/>
      <c r="I16" s="17"/>
    </row>
    <row r="17" spans="2:9" x14ac:dyDescent="0.3">
      <c r="B17" s="15"/>
      <c r="C17" s="16"/>
      <c r="D17" s="16"/>
      <c r="E17" s="16"/>
      <c r="F17" s="16"/>
      <c r="G17" s="16"/>
      <c r="H17" s="16"/>
      <c r="I17" s="17"/>
    </row>
    <row r="18" spans="2:9" x14ac:dyDescent="0.3">
      <c r="B18" s="15"/>
      <c r="C18" s="16"/>
      <c r="D18" s="16"/>
      <c r="E18" s="16"/>
      <c r="F18" s="16"/>
      <c r="G18" s="16"/>
      <c r="H18" s="16"/>
      <c r="I18" s="17"/>
    </row>
    <row r="19" spans="2:9" s="19" customFormat="1" x14ac:dyDescent="0.3">
      <c r="B19" s="18"/>
      <c r="C19" s="17"/>
      <c r="D19" s="17"/>
      <c r="E19" s="17"/>
      <c r="F19" s="17"/>
      <c r="G19" s="17"/>
      <c r="H19" s="17"/>
      <c r="I19" s="17"/>
    </row>
    <row r="20" spans="2:9" x14ac:dyDescent="0.3">
      <c r="B20" s="15"/>
      <c r="C20" s="16"/>
      <c r="D20" s="16"/>
      <c r="E20" s="16"/>
      <c r="F20" s="16"/>
      <c r="G20" s="16"/>
      <c r="H20" s="16"/>
      <c r="I20" s="16"/>
    </row>
    <row r="21" spans="2:9" x14ac:dyDescent="0.3">
      <c r="B21" s="15"/>
      <c r="C21" s="16"/>
      <c r="D21" s="16"/>
      <c r="E21" s="16"/>
      <c r="F21" s="16"/>
      <c r="G21" s="16"/>
      <c r="H21" s="16"/>
      <c r="I21" s="16"/>
    </row>
    <row r="22" spans="2:9" x14ac:dyDescent="0.3">
      <c r="B22" s="15"/>
      <c r="C22" s="16"/>
      <c r="D22" s="16"/>
      <c r="E22" s="16"/>
      <c r="F22" s="16"/>
      <c r="G22" s="16"/>
      <c r="H22" s="16"/>
      <c r="I22" s="16"/>
    </row>
    <row r="23" spans="2:9" x14ac:dyDescent="0.3">
      <c r="B23" s="15"/>
      <c r="C23" s="16"/>
      <c r="D23" s="16"/>
      <c r="E23" s="16"/>
      <c r="F23" s="16"/>
      <c r="G23" s="16"/>
      <c r="H23" s="16"/>
      <c r="I23" s="16"/>
    </row>
    <row r="24" spans="2:9" x14ac:dyDescent="0.3">
      <c r="B24" s="15"/>
      <c r="C24" s="16"/>
      <c r="D24" s="16"/>
      <c r="E24" s="16"/>
      <c r="F24" s="16"/>
      <c r="G24" s="16"/>
      <c r="H24" s="16"/>
      <c r="I24" s="16"/>
    </row>
  </sheetData>
  <conditionalFormatting sqref="C2:E1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764A-A948-4CCB-85CC-4E3599729FA8}">
  <sheetPr>
    <tabColor rgb="FFFFC000"/>
  </sheetPr>
  <dimension ref="A1:H18"/>
  <sheetViews>
    <sheetView workbookViewId="0">
      <selection activeCell="E7" sqref="E7"/>
    </sheetView>
  </sheetViews>
  <sheetFormatPr defaultRowHeight="14.4" x14ac:dyDescent="0.3"/>
  <cols>
    <col min="1" max="1" width="19.109375" bestFit="1" customWidth="1"/>
    <col min="2" max="2" width="32" bestFit="1" customWidth="1"/>
    <col min="3" max="3" width="23.21875" bestFit="1" customWidth="1"/>
    <col min="4" max="4" width="22" bestFit="1" customWidth="1"/>
    <col min="5" max="5" width="9" bestFit="1" customWidth="1"/>
    <col min="6" max="7" width="9.109375" bestFit="1" customWidth="1"/>
    <col min="8" max="8" width="9" bestFit="1" customWidth="1"/>
  </cols>
  <sheetData>
    <row r="1" spans="1:8" ht="21.6" thickBot="1" x14ac:dyDescent="0.45">
      <c r="A1" s="27" t="s">
        <v>36</v>
      </c>
      <c r="B1" s="1" t="s">
        <v>6</v>
      </c>
      <c r="C1" s="1" t="s">
        <v>7</v>
      </c>
      <c r="D1" s="1" t="s">
        <v>8</v>
      </c>
    </row>
    <row r="2" spans="1:8" ht="43.8" customHeight="1" thickBot="1" x14ac:dyDescent="0.45">
      <c r="A2" s="29" t="s">
        <v>0</v>
      </c>
      <c r="B2" s="24">
        <f>'RESULTS-Steady'!B5/PermeateProduction!B$2</f>
        <v>1869.8140565317035</v>
      </c>
      <c r="C2" s="24">
        <f>'RESULTS-SolarResponse'!B4/PermeateProduction!B$3</f>
        <v>1910.8024152968803</v>
      </c>
      <c r="D2" s="25">
        <f>'RESULTS-TOU'!B3/PermeateProduction!B$4</f>
        <v>2020.2420794678801</v>
      </c>
    </row>
    <row r="3" spans="1:8" ht="43.8" customHeight="1" thickBot="1" x14ac:dyDescent="0.45">
      <c r="A3" s="29" t="s">
        <v>1</v>
      </c>
      <c r="B3" s="24">
        <f>'RESULTS-Steady'!B8/PermeateProduction!B$2</f>
        <v>2296.4867838044306</v>
      </c>
      <c r="C3" s="24">
        <f>'RESULTS-SolarResponse'!B7/PermeateProduction!B$3</f>
        <v>2379.1975847031199</v>
      </c>
      <c r="D3" s="25">
        <f>'RESULTS-TOU'!B6/PermeateProduction!B$4</f>
        <v>2509.0523367757746</v>
      </c>
    </row>
    <row r="4" spans="1:8" ht="43.8" customHeight="1" x14ac:dyDescent="0.4">
      <c r="A4" s="29" t="s">
        <v>2</v>
      </c>
      <c r="B4" s="24">
        <f>'RESULTS-Steady'!B11/PermeateProduction!B$2</f>
        <v>2424.6166539343008</v>
      </c>
      <c r="C4" s="24">
        <f>'RESULTS-SolarResponse'!B10/PermeateProduction!B$3</f>
        <v>2519.8569272056357</v>
      </c>
      <c r="D4" s="25">
        <f>'RESULTS-TOU'!B9/PermeateProduction!B$4</f>
        <v>2655.8421144757572</v>
      </c>
    </row>
    <row r="10" spans="1:8" x14ac:dyDescent="0.3">
      <c r="B10" s="16"/>
      <c r="C10" s="16"/>
      <c r="D10" s="16"/>
      <c r="E10" s="16"/>
      <c r="F10" s="16"/>
      <c r="G10" s="16"/>
      <c r="H10" s="17"/>
    </row>
    <row r="11" spans="1:8" x14ac:dyDescent="0.3">
      <c r="B11" s="16"/>
      <c r="C11" s="16"/>
      <c r="D11" s="16"/>
      <c r="E11" s="16"/>
      <c r="F11" s="16"/>
      <c r="G11" s="16"/>
      <c r="H11" s="17"/>
    </row>
    <row r="12" spans="1:8" x14ac:dyDescent="0.3">
      <c r="B12" s="16"/>
      <c r="C12" s="16"/>
      <c r="D12" s="16"/>
      <c r="E12" s="16"/>
      <c r="F12" s="16"/>
      <c r="G12" s="16"/>
      <c r="H12" s="17"/>
    </row>
    <row r="13" spans="1:8" s="19" customFormat="1" x14ac:dyDescent="0.3">
      <c r="B13" s="17"/>
      <c r="C13" s="17"/>
      <c r="D13" s="17"/>
      <c r="E13" s="17"/>
      <c r="F13" s="17"/>
      <c r="G13" s="17"/>
      <c r="H13" s="17"/>
    </row>
    <row r="14" spans="1:8" x14ac:dyDescent="0.3">
      <c r="B14" s="16"/>
      <c r="C14" s="16"/>
      <c r="D14" s="16"/>
      <c r="E14" s="16"/>
      <c r="F14" s="16"/>
      <c r="G14" s="16"/>
      <c r="H14" s="16"/>
    </row>
    <row r="15" spans="1:8" x14ac:dyDescent="0.3">
      <c r="B15" s="16"/>
      <c r="C15" s="16"/>
      <c r="D15" s="16"/>
      <c r="E15" s="16"/>
      <c r="F15" s="16"/>
      <c r="G15" s="16"/>
      <c r="H15" s="16"/>
    </row>
    <row r="16" spans="1:8" x14ac:dyDescent="0.3">
      <c r="B16" s="16"/>
      <c r="C16" s="16"/>
      <c r="D16" s="16"/>
      <c r="E16" s="16"/>
      <c r="F16" s="16"/>
      <c r="G16" s="16"/>
      <c r="H16" s="16"/>
    </row>
    <row r="17" spans="2:8" x14ac:dyDescent="0.3">
      <c r="B17" s="16"/>
      <c r="C17" s="16"/>
      <c r="D17" s="16"/>
      <c r="E17" s="16"/>
      <c r="F17" s="16"/>
      <c r="G17" s="16"/>
      <c r="H17" s="16"/>
    </row>
    <row r="18" spans="2:8" x14ac:dyDescent="0.3">
      <c r="B18" s="16"/>
      <c r="C18" s="16"/>
      <c r="D18" s="16"/>
      <c r="E18" s="16"/>
      <c r="F18" s="16"/>
      <c r="G18" s="16"/>
      <c r="H18" s="16"/>
    </row>
  </sheetData>
  <conditionalFormatting sqref="B2:D4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E5D5-51CC-4EBE-977D-CC9D2C291F7F}">
  <sheetPr>
    <tabColor rgb="FFFFFF00"/>
  </sheetPr>
  <dimension ref="A1:H24"/>
  <sheetViews>
    <sheetView workbookViewId="0">
      <selection activeCell="E2" sqref="E2:E10"/>
    </sheetView>
  </sheetViews>
  <sheetFormatPr defaultRowHeight="14.4" x14ac:dyDescent="0.3"/>
  <cols>
    <col min="1" max="1" width="24.6640625" customWidth="1"/>
    <col min="2" max="2" width="17.88671875" bestFit="1" customWidth="1"/>
    <col min="3" max="3" width="31.88671875" bestFit="1" customWidth="1"/>
    <col min="4" max="4" width="23.109375" bestFit="1" customWidth="1"/>
    <col min="5" max="5" width="22.88671875" customWidth="1"/>
    <col min="7" max="7" width="16.6640625" bestFit="1" customWidth="1"/>
  </cols>
  <sheetData>
    <row r="1" spans="1:8" ht="21.6" thickBot="1" x14ac:dyDescent="0.45">
      <c r="A1" s="30"/>
      <c r="B1" s="30"/>
      <c r="C1" s="1" t="s">
        <v>6</v>
      </c>
      <c r="D1" s="1" t="s">
        <v>7</v>
      </c>
      <c r="E1" s="1" t="s">
        <v>8</v>
      </c>
    </row>
    <row r="2" spans="1:8" ht="21" x14ac:dyDescent="0.4">
      <c r="A2" s="31" t="s">
        <v>0</v>
      </c>
      <c r="B2" s="2" t="s">
        <v>3</v>
      </c>
      <c r="C2" s="16">
        <f>'RESULTS-Steady'!C4*3.27</f>
        <v>4341.8733000000002</v>
      </c>
      <c r="D2" s="16">
        <f>'RESULTS-SolarResponse'!C3*3.27</f>
        <v>4519.5324000000001</v>
      </c>
      <c r="E2" s="16">
        <f>'RESULTS-TOU'!C3*3.27</f>
        <v>-0.29430000000000001</v>
      </c>
    </row>
    <row r="3" spans="1:8" ht="21" x14ac:dyDescent="0.4">
      <c r="A3" s="32"/>
      <c r="B3" s="3" t="s">
        <v>4</v>
      </c>
      <c r="C3" s="16">
        <f>'RESULTS-Steady'!C5*3.27</f>
        <v>4341.8733000000002</v>
      </c>
      <c r="D3" s="16">
        <f>'RESULTS-SolarResponse'!C4*3.27</f>
        <v>4519.5324000000001</v>
      </c>
      <c r="E3" s="16">
        <f>'RESULTS-TOU'!C4*3.27</f>
        <v>-0.29430000000000001</v>
      </c>
    </row>
    <row r="4" spans="1:8" ht="21.6" thickBot="1" x14ac:dyDescent="0.45">
      <c r="A4" s="33"/>
      <c r="B4" s="4" t="s">
        <v>5</v>
      </c>
      <c r="C4" s="16">
        <f>'RESULTS-Steady'!C6*3.27</f>
        <v>4341.8733000000002</v>
      </c>
      <c r="D4" s="16">
        <f>'RESULTS-SolarResponse'!C5*3.27</f>
        <v>4519.5324000000001</v>
      </c>
      <c r="E4" s="16">
        <f>'RESULTS-TOU'!C5*3.27</f>
        <v>-0.29430000000000001</v>
      </c>
    </row>
    <row r="5" spans="1:8" ht="21" x14ac:dyDescent="0.4">
      <c r="A5" s="31" t="s">
        <v>1</v>
      </c>
      <c r="B5" s="2" t="s">
        <v>3</v>
      </c>
      <c r="C5" s="16">
        <f>'RESULTS-Steady'!C7*3.27</f>
        <v>4342.1021999999994</v>
      </c>
      <c r="D5" s="16">
        <f>'RESULTS-SolarResponse'!C6*3.27</f>
        <v>4519.7613000000001</v>
      </c>
      <c r="E5" s="16">
        <f>'RESULTS-TOU'!C6*3.27</f>
        <v>-6.54E-2</v>
      </c>
    </row>
    <row r="6" spans="1:8" ht="21" x14ac:dyDescent="0.4">
      <c r="A6" s="32"/>
      <c r="B6" s="3" t="s">
        <v>4</v>
      </c>
      <c r="C6" s="16">
        <f>'RESULTS-Steady'!C8*3.27</f>
        <v>4342.1021999999994</v>
      </c>
      <c r="D6" s="16">
        <f>'RESULTS-SolarResponse'!C7*3.27</f>
        <v>4519.7613000000001</v>
      </c>
      <c r="E6" s="16">
        <f>'RESULTS-TOU'!C7*3.27</f>
        <v>-6.54E-2</v>
      </c>
    </row>
    <row r="7" spans="1:8" ht="21.6" thickBot="1" x14ac:dyDescent="0.45">
      <c r="A7" s="33"/>
      <c r="B7" s="4" t="s">
        <v>5</v>
      </c>
      <c r="C7" s="16">
        <f>'RESULTS-Steady'!C9*3.27</f>
        <v>4342.1021999999994</v>
      </c>
      <c r="D7" s="16">
        <f>'RESULTS-SolarResponse'!C8*3.27</f>
        <v>4519.7613000000001</v>
      </c>
      <c r="E7" s="16">
        <f>'RESULTS-TOU'!C8*3.27</f>
        <v>-6.54E-2</v>
      </c>
    </row>
    <row r="8" spans="1:8" ht="21" x14ac:dyDescent="0.4">
      <c r="A8" s="31" t="s">
        <v>2</v>
      </c>
      <c r="B8" s="2" t="s">
        <v>3</v>
      </c>
      <c r="C8" s="16">
        <f>'RESULTS-Steady'!C10*3.27</f>
        <v>4342.1676000000007</v>
      </c>
      <c r="D8" s="16">
        <f>'RESULTS-SolarResponse'!C9*3.27</f>
        <v>4519.8267000000005</v>
      </c>
      <c r="E8" s="16">
        <f>'RESULTS-TOU'!C9*3.27</f>
        <v>0</v>
      </c>
    </row>
    <row r="9" spans="1:8" ht="21" x14ac:dyDescent="0.4">
      <c r="A9" s="32"/>
      <c r="B9" s="3" t="s">
        <v>4</v>
      </c>
      <c r="C9" s="16">
        <f>'RESULTS-Steady'!C11*3.27</f>
        <v>4342.1676000000007</v>
      </c>
      <c r="D9" s="16">
        <f>'RESULTS-SolarResponse'!C10*3.27</f>
        <v>4519.8267000000005</v>
      </c>
      <c r="E9" s="16">
        <f>'RESULTS-TOU'!C10*3.27</f>
        <v>0</v>
      </c>
    </row>
    <row r="10" spans="1:8" ht="21.6" thickBot="1" x14ac:dyDescent="0.45">
      <c r="A10" s="33"/>
      <c r="B10" s="4" t="s">
        <v>5</v>
      </c>
      <c r="C10" s="16">
        <f>'RESULTS-Steady'!C12*3.27</f>
        <v>4342.1676000000007</v>
      </c>
      <c r="D10" s="16">
        <f>'RESULTS-SolarResponse'!C11*3.27</f>
        <v>4519.8267000000005</v>
      </c>
      <c r="E10" s="16">
        <f>'RESULTS-TOU'!C11*3.27</f>
        <v>0</v>
      </c>
    </row>
    <row r="14" spans="1:8" x14ac:dyDescent="0.3">
      <c r="A14" s="15"/>
    </row>
    <row r="15" spans="1:8" x14ac:dyDescent="0.3">
      <c r="A15" s="15"/>
    </row>
    <row r="16" spans="1:8" x14ac:dyDescent="0.3">
      <c r="A16" s="15"/>
      <c r="B16" s="16"/>
      <c r="C16" s="16"/>
      <c r="D16" s="16"/>
      <c r="E16" s="16"/>
      <c r="F16" s="16"/>
      <c r="G16" s="16"/>
      <c r="H16" s="17"/>
    </row>
    <row r="17" spans="1:8" x14ac:dyDescent="0.3">
      <c r="A17" s="15"/>
      <c r="B17" s="16"/>
      <c r="C17" s="16"/>
      <c r="D17" s="16"/>
      <c r="E17" s="16"/>
      <c r="F17" s="16"/>
      <c r="G17" s="16"/>
      <c r="H17" s="17"/>
    </row>
    <row r="18" spans="1:8" x14ac:dyDescent="0.3">
      <c r="A18" s="15"/>
      <c r="B18" s="16"/>
      <c r="C18" s="16"/>
      <c r="D18" s="16"/>
      <c r="E18" s="16"/>
      <c r="F18" s="16"/>
      <c r="G18" s="16"/>
      <c r="H18" s="17"/>
    </row>
    <row r="19" spans="1:8" x14ac:dyDescent="0.3">
      <c r="A19" s="18"/>
      <c r="B19" s="17"/>
      <c r="C19" s="17"/>
      <c r="D19" s="17"/>
      <c r="E19" s="17"/>
      <c r="F19" s="17"/>
      <c r="G19" s="17"/>
      <c r="H19" s="17"/>
    </row>
    <row r="20" spans="1:8" x14ac:dyDescent="0.3">
      <c r="A20" s="15"/>
      <c r="B20" s="16"/>
      <c r="C20" s="16"/>
      <c r="D20" s="16"/>
      <c r="E20" s="16"/>
      <c r="F20" s="16"/>
      <c r="G20" s="16"/>
      <c r="H20" s="16"/>
    </row>
    <row r="21" spans="1:8" x14ac:dyDescent="0.3">
      <c r="A21" s="15"/>
      <c r="B21" s="16"/>
      <c r="C21" s="16"/>
      <c r="D21" s="16"/>
      <c r="E21" s="16"/>
      <c r="F21" s="16"/>
      <c r="G21" s="16"/>
      <c r="H21" s="16"/>
    </row>
    <row r="22" spans="1:8" x14ac:dyDescent="0.3">
      <c r="A22" s="15"/>
      <c r="B22" s="16"/>
      <c r="C22" s="16"/>
      <c r="D22" s="16"/>
      <c r="E22" s="16"/>
      <c r="F22" s="16"/>
      <c r="G22" s="16"/>
      <c r="H22" s="16"/>
    </row>
    <row r="23" spans="1:8" x14ac:dyDescent="0.3">
      <c r="A23" s="15"/>
      <c r="B23" s="16"/>
      <c r="C23" s="16"/>
      <c r="D23" s="16"/>
      <c r="E23" s="16"/>
      <c r="F23" s="16"/>
      <c r="G23" s="16"/>
      <c r="H23" s="16"/>
    </row>
    <row r="24" spans="1:8" x14ac:dyDescent="0.3">
      <c r="A24" s="15"/>
      <c r="B24" s="16"/>
      <c r="C24" s="16"/>
      <c r="D24" s="16"/>
      <c r="E24" s="16"/>
      <c r="F24" s="16"/>
      <c r="G24" s="16"/>
      <c r="H24" s="16"/>
    </row>
  </sheetData>
  <mergeCells count="4">
    <mergeCell ref="A1:B1"/>
    <mergeCell ref="A2:A4"/>
    <mergeCell ref="A5:A7"/>
    <mergeCell ref="A8:A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2346-ED5C-4356-9F58-857B5D8A5C48}">
  <sheetPr>
    <tabColor rgb="FFFFFF00"/>
  </sheetPr>
  <dimension ref="A1:H23"/>
  <sheetViews>
    <sheetView workbookViewId="0">
      <selection activeCell="D29" sqref="D29"/>
    </sheetView>
  </sheetViews>
  <sheetFormatPr defaultRowHeight="14.4" x14ac:dyDescent="0.3"/>
  <cols>
    <col min="1" max="1" width="24.6640625" customWidth="1"/>
    <col min="2" max="2" width="17.88671875" bestFit="1" customWidth="1"/>
    <col min="3" max="3" width="31.88671875" bestFit="1" customWidth="1"/>
    <col min="4" max="4" width="23.109375" bestFit="1" customWidth="1"/>
    <col min="5" max="5" width="22.88671875" customWidth="1"/>
    <col min="7" max="7" width="16.6640625" bestFit="1" customWidth="1"/>
  </cols>
  <sheetData>
    <row r="1" spans="1:8" ht="21.6" thickBot="1" x14ac:dyDescent="0.45">
      <c r="A1" s="30"/>
      <c r="B1" s="30"/>
      <c r="C1" s="1" t="s">
        <v>6</v>
      </c>
      <c r="D1" s="1" t="s">
        <v>7</v>
      </c>
      <c r="E1" s="1" t="s">
        <v>8</v>
      </c>
    </row>
    <row r="2" spans="1:8" ht="21.6" thickBot="1" x14ac:dyDescent="0.45">
      <c r="A2" s="31" t="s">
        <v>0</v>
      </c>
      <c r="B2" s="2" t="s">
        <v>3</v>
      </c>
      <c r="C2" s="22">
        <f>'RESULTS-Steady'!D4 * 23.28</f>
        <v>31599.5736</v>
      </c>
      <c r="D2" s="22">
        <f>'RESULTS-SolarResponse'!D3 * 23.28</f>
        <v>32175.7536</v>
      </c>
      <c r="E2" s="23">
        <f>'RESULTS-TOU'!D3*23.28</f>
        <v>28731.943200000002</v>
      </c>
    </row>
    <row r="3" spans="1:8" ht="21.6" thickBot="1" x14ac:dyDescent="0.45">
      <c r="A3" s="32"/>
      <c r="B3" s="3" t="s">
        <v>4</v>
      </c>
      <c r="C3" s="22">
        <f>'RESULTS-Steady'!D5 * 23.28</f>
        <v>31599.5736</v>
      </c>
      <c r="D3" s="22">
        <f>'RESULTS-SolarResponse'!D4 * 23.28</f>
        <v>32175.7536</v>
      </c>
      <c r="E3" s="23">
        <f>'RESULTS-TOU'!D4*23.28</f>
        <v>28731.943200000002</v>
      </c>
    </row>
    <row r="4" spans="1:8" ht="21.6" thickBot="1" x14ac:dyDescent="0.45">
      <c r="A4" s="33"/>
      <c r="B4" s="4" t="s">
        <v>5</v>
      </c>
      <c r="C4" s="22">
        <f>'RESULTS-Steady'!D6 * 23.28</f>
        <v>31599.5736</v>
      </c>
      <c r="D4" s="22">
        <f>'RESULTS-SolarResponse'!D5 * 23.28</f>
        <v>32175.7536</v>
      </c>
      <c r="E4" s="23">
        <f>'RESULTS-TOU'!D5*23.28</f>
        <v>28731.943200000002</v>
      </c>
    </row>
    <row r="5" spans="1:8" ht="21.6" thickBot="1" x14ac:dyDescent="0.45">
      <c r="A5" s="31" t="s">
        <v>1</v>
      </c>
      <c r="B5" s="2" t="s">
        <v>3</v>
      </c>
      <c r="C5" s="22">
        <f>'RESULTS-Steady'!D7 * 23.28</f>
        <v>31602.8328</v>
      </c>
      <c r="D5" s="22">
        <f>'RESULTS-SolarResponse'!D6 * 23.28</f>
        <v>32485.144800000002</v>
      </c>
      <c r="E5" s="23">
        <f>'RESULTS-TOU'!D6*23.28</f>
        <v>31951.567200000001</v>
      </c>
    </row>
    <row r="6" spans="1:8" ht="21.6" thickBot="1" x14ac:dyDescent="0.45">
      <c r="A6" s="32"/>
      <c r="B6" s="3" t="s">
        <v>4</v>
      </c>
      <c r="C6" s="22">
        <f>'RESULTS-Steady'!D8 * 23.28</f>
        <v>31602.8328</v>
      </c>
      <c r="D6" s="22">
        <f>'RESULTS-SolarResponse'!D7 * 23.28</f>
        <v>32485.144800000002</v>
      </c>
      <c r="E6" s="23">
        <f>'RESULTS-TOU'!D7*23.28</f>
        <v>31951.567200000001</v>
      </c>
    </row>
    <row r="7" spans="1:8" ht="21.6" thickBot="1" x14ac:dyDescent="0.45">
      <c r="A7" s="33"/>
      <c r="B7" s="4" t="s">
        <v>5</v>
      </c>
      <c r="C7" s="22">
        <f>'RESULTS-Steady'!D9 * 23.28</f>
        <v>31602.8328</v>
      </c>
      <c r="D7" s="22">
        <f>'RESULTS-SolarResponse'!D8 * 23.28</f>
        <v>32485.144800000002</v>
      </c>
      <c r="E7" s="23">
        <f>'RESULTS-TOU'!D8*23.28</f>
        <v>31951.567200000001</v>
      </c>
    </row>
    <row r="8" spans="1:8" ht="21.6" thickBot="1" x14ac:dyDescent="0.45">
      <c r="A8" s="31" t="s">
        <v>2</v>
      </c>
      <c r="B8" s="2" t="s">
        <v>3</v>
      </c>
      <c r="C8" s="22">
        <f>'RESULTS-Steady'!D10 * 23.28</f>
        <v>31603.996800000001</v>
      </c>
      <c r="D8" s="22">
        <f>'RESULTS-SolarResponse'!D9 * 23.28</f>
        <v>33032.224800000004</v>
      </c>
      <c r="E8" s="23">
        <f>'RESULTS-TOU'!D9*23.28</f>
        <v>33032.224800000004</v>
      </c>
    </row>
    <row r="9" spans="1:8" ht="21.6" thickBot="1" x14ac:dyDescent="0.45">
      <c r="A9" s="32"/>
      <c r="B9" s="3" t="s">
        <v>4</v>
      </c>
      <c r="C9" s="22">
        <f>'RESULTS-Steady'!D11 * 23.28</f>
        <v>31603.996800000001</v>
      </c>
      <c r="D9" s="22">
        <f>'RESULTS-SolarResponse'!D10 * 23.28</f>
        <v>33032.224800000004</v>
      </c>
      <c r="E9" s="23">
        <f>'RESULTS-TOU'!D10*23.28</f>
        <v>33032.224800000004</v>
      </c>
    </row>
    <row r="10" spans="1:8" ht="21.6" thickBot="1" x14ac:dyDescent="0.45">
      <c r="A10" s="33"/>
      <c r="B10" s="4" t="s">
        <v>5</v>
      </c>
      <c r="C10" s="22">
        <f>'RESULTS-Steady'!D12 * 23.28</f>
        <v>31603.996800000001</v>
      </c>
      <c r="D10" s="22">
        <f>'RESULTS-SolarResponse'!D11 * 23.28</f>
        <v>33032.224800000004</v>
      </c>
      <c r="E10" s="23">
        <f>'RESULTS-TOU'!D11*23.28</f>
        <v>33032.224800000004</v>
      </c>
    </row>
    <row r="13" spans="1:8" x14ac:dyDescent="0.3">
      <c r="A13" s="15"/>
    </row>
    <row r="14" spans="1:8" x14ac:dyDescent="0.3">
      <c r="A14" s="15"/>
    </row>
    <row r="15" spans="1:8" x14ac:dyDescent="0.3">
      <c r="A15" s="15"/>
      <c r="B15" s="16"/>
      <c r="C15" s="16"/>
      <c r="D15" s="16"/>
      <c r="E15" s="16"/>
      <c r="G15" s="16"/>
      <c r="H15" s="17"/>
    </row>
    <row r="16" spans="1:8" x14ac:dyDescent="0.3">
      <c r="A16" s="15"/>
      <c r="B16" s="16"/>
      <c r="C16" s="16"/>
      <c r="D16" s="16"/>
      <c r="E16" s="16"/>
      <c r="G16" s="16"/>
      <c r="H16" s="17"/>
    </row>
    <row r="17" spans="1:8" x14ac:dyDescent="0.3">
      <c r="A17" s="15"/>
      <c r="B17" s="16"/>
      <c r="C17" s="16"/>
      <c r="D17" s="16"/>
      <c r="E17" s="16"/>
      <c r="G17" s="16"/>
      <c r="H17" s="17"/>
    </row>
    <row r="18" spans="1:8" x14ac:dyDescent="0.3">
      <c r="A18" s="18"/>
      <c r="B18" s="17"/>
      <c r="C18" s="17"/>
      <c r="D18" s="17"/>
      <c r="E18" s="17"/>
      <c r="G18" s="17"/>
      <c r="H18" s="17"/>
    </row>
    <row r="19" spans="1:8" x14ac:dyDescent="0.3">
      <c r="A19" s="15"/>
      <c r="B19" s="16"/>
      <c r="C19" s="16"/>
      <c r="D19" s="16"/>
      <c r="E19" s="16"/>
      <c r="G19" s="16"/>
      <c r="H19" s="16"/>
    </row>
    <row r="20" spans="1:8" x14ac:dyDescent="0.3">
      <c r="A20" s="15"/>
      <c r="B20" s="16"/>
      <c r="C20" s="16"/>
      <c r="D20" s="16"/>
      <c r="E20" s="16"/>
      <c r="G20" s="16"/>
      <c r="H20" s="16"/>
    </row>
    <row r="21" spans="1:8" x14ac:dyDescent="0.3">
      <c r="A21" s="15"/>
      <c r="B21" s="16"/>
      <c r="C21" s="16"/>
      <c r="D21" s="16"/>
      <c r="E21" s="16"/>
      <c r="G21" s="16"/>
      <c r="H21" s="16"/>
    </row>
    <row r="22" spans="1:8" x14ac:dyDescent="0.3">
      <c r="A22" s="15"/>
      <c r="B22" s="16"/>
      <c r="C22" s="16"/>
      <c r="D22" s="16"/>
      <c r="E22" s="16"/>
      <c r="G22" s="16"/>
      <c r="H22" s="16"/>
    </row>
    <row r="23" spans="1:8" x14ac:dyDescent="0.3">
      <c r="A23" s="15"/>
      <c r="B23" s="16"/>
      <c r="C23" s="16"/>
      <c r="D23" s="16"/>
      <c r="E23" s="16"/>
      <c r="G23" s="16"/>
      <c r="H23" s="16"/>
    </row>
  </sheetData>
  <mergeCells count="4">
    <mergeCell ref="A1:B1"/>
    <mergeCell ref="A2:A4"/>
    <mergeCell ref="A5:A7"/>
    <mergeCell ref="A8:A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3C8F-F6CB-414A-8B00-89F1418BC300}">
  <dimension ref="A1:E10"/>
  <sheetViews>
    <sheetView workbookViewId="0">
      <selection activeCell="E3" sqref="E3"/>
    </sheetView>
  </sheetViews>
  <sheetFormatPr defaultRowHeight="14.4" x14ac:dyDescent="0.3"/>
  <cols>
    <col min="3" max="3" width="17.109375" bestFit="1" customWidth="1"/>
    <col min="4" max="4" width="23.109375" bestFit="1" customWidth="1"/>
    <col min="5" max="5" width="21.88671875" bestFit="1" customWidth="1"/>
  </cols>
  <sheetData>
    <row r="1" spans="1:5" ht="21.6" thickBot="1" x14ac:dyDescent="0.45">
      <c r="A1" s="30"/>
      <c r="B1" s="30"/>
      <c r="C1" s="1" t="s">
        <v>6</v>
      </c>
      <c r="D1" s="1" t="s">
        <v>7</v>
      </c>
      <c r="E1" s="1" t="s">
        <v>8</v>
      </c>
    </row>
    <row r="2" spans="1:5" ht="21.6" thickBot="1" x14ac:dyDescent="0.45">
      <c r="A2" s="31" t="s">
        <v>0</v>
      </c>
      <c r="B2" s="2" t="s">
        <v>3</v>
      </c>
      <c r="C2" s="22">
        <f>OnPeakDemandCharge!C2+OffPeakDemandCharges!C2</f>
        <v>35941.446900000003</v>
      </c>
      <c r="D2" s="22">
        <f>OnPeakDemandCharge!D2+OffPeakDemandCharges!D2</f>
        <v>36695.286</v>
      </c>
      <c r="E2" s="22">
        <f>OnPeakDemandCharge!E2+OffPeakDemandCharges!E2</f>
        <v>28731.6489</v>
      </c>
    </row>
    <row r="3" spans="1:5" ht="21.6" thickBot="1" x14ac:dyDescent="0.45">
      <c r="A3" s="32"/>
      <c r="B3" s="3" t="s">
        <v>4</v>
      </c>
      <c r="C3" s="22">
        <f>OnPeakDemandCharge!C3+OffPeakDemandCharges!C3</f>
        <v>35941.446900000003</v>
      </c>
      <c r="D3" s="22">
        <f>OnPeakDemandCharge!D3+OffPeakDemandCharges!D3</f>
        <v>36695.286</v>
      </c>
      <c r="E3" s="22">
        <f>OnPeakDemandCharge!E3+OffPeakDemandCharges!E3</f>
        <v>28731.6489</v>
      </c>
    </row>
    <row r="4" spans="1:5" ht="21.6" thickBot="1" x14ac:dyDescent="0.45">
      <c r="A4" s="33"/>
      <c r="B4" s="4" t="s">
        <v>5</v>
      </c>
      <c r="C4" s="22">
        <f>OnPeakDemandCharge!C4+OffPeakDemandCharges!C4</f>
        <v>35941.446900000003</v>
      </c>
      <c r="D4" s="22">
        <f>OnPeakDemandCharge!D4+OffPeakDemandCharges!D4</f>
        <v>36695.286</v>
      </c>
      <c r="E4" s="22">
        <f>OnPeakDemandCharge!E4+OffPeakDemandCharges!E4</f>
        <v>28731.6489</v>
      </c>
    </row>
    <row r="5" spans="1:5" ht="21.6" thickBot="1" x14ac:dyDescent="0.45">
      <c r="A5" s="31" t="s">
        <v>1</v>
      </c>
      <c r="B5" s="2" t="s">
        <v>3</v>
      </c>
      <c r="C5" s="22">
        <f>OnPeakDemandCharge!C5+OffPeakDemandCharges!C5</f>
        <v>35944.934999999998</v>
      </c>
      <c r="D5" s="22">
        <f>OnPeakDemandCharge!D5+OffPeakDemandCharges!D5</f>
        <v>37004.9061</v>
      </c>
      <c r="E5" s="22">
        <f>OnPeakDemandCharge!E5+OffPeakDemandCharges!E5</f>
        <v>31951.501800000002</v>
      </c>
    </row>
    <row r="6" spans="1:5" ht="21.6" thickBot="1" x14ac:dyDescent="0.45">
      <c r="A6" s="32"/>
      <c r="B6" s="3" t="s">
        <v>4</v>
      </c>
      <c r="C6" s="22">
        <f>OnPeakDemandCharge!C6+OffPeakDemandCharges!C6</f>
        <v>35944.934999999998</v>
      </c>
      <c r="D6" s="22">
        <f>OnPeakDemandCharge!D6+OffPeakDemandCharges!D6</f>
        <v>37004.9061</v>
      </c>
      <c r="E6" s="22">
        <f>OnPeakDemandCharge!E6+OffPeakDemandCharges!E6</f>
        <v>31951.501800000002</v>
      </c>
    </row>
    <row r="7" spans="1:5" ht="21.6" thickBot="1" x14ac:dyDescent="0.45">
      <c r="A7" s="33"/>
      <c r="B7" s="4" t="s">
        <v>5</v>
      </c>
      <c r="C7" s="22">
        <f>OnPeakDemandCharge!C7+OffPeakDemandCharges!C7</f>
        <v>35944.934999999998</v>
      </c>
      <c r="D7" s="22">
        <f>OnPeakDemandCharge!D7+OffPeakDemandCharges!D7</f>
        <v>37004.9061</v>
      </c>
      <c r="E7" s="22">
        <f>OnPeakDemandCharge!E7+OffPeakDemandCharges!E7</f>
        <v>31951.501800000002</v>
      </c>
    </row>
    <row r="8" spans="1:5" ht="21.6" thickBot="1" x14ac:dyDescent="0.45">
      <c r="A8" s="31" t="s">
        <v>2</v>
      </c>
      <c r="B8" s="2" t="s">
        <v>3</v>
      </c>
      <c r="C8" s="22">
        <f>OnPeakDemandCharge!C8+OffPeakDemandCharges!C8</f>
        <v>35946.164400000001</v>
      </c>
      <c r="D8" s="22">
        <f>OnPeakDemandCharge!D8+OffPeakDemandCharges!D8</f>
        <v>37552.051500000001</v>
      </c>
      <c r="E8" s="22">
        <f>OnPeakDemandCharge!E8+OffPeakDemandCharges!E8</f>
        <v>33032.224800000004</v>
      </c>
    </row>
    <row r="9" spans="1:5" ht="21.6" thickBot="1" x14ac:dyDescent="0.45">
      <c r="A9" s="32"/>
      <c r="B9" s="3" t="s">
        <v>4</v>
      </c>
      <c r="C9" s="22">
        <f>OnPeakDemandCharge!C9+OffPeakDemandCharges!C9</f>
        <v>35946.164400000001</v>
      </c>
      <c r="D9" s="22">
        <f>OnPeakDemandCharge!D9+OffPeakDemandCharges!D9</f>
        <v>37552.051500000001</v>
      </c>
      <c r="E9" s="22">
        <f>OnPeakDemandCharge!E9+OffPeakDemandCharges!E9</f>
        <v>33032.224800000004</v>
      </c>
    </row>
    <row r="10" spans="1:5" ht="21.6" thickBot="1" x14ac:dyDescent="0.45">
      <c r="A10" s="33"/>
      <c r="B10" s="4" t="s">
        <v>5</v>
      </c>
      <c r="C10" s="22">
        <f>OnPeakDemandCharge!C10+OffPeakDemandCharges!C10</f>
        <v>35946.164400000001</v>
      </c>
      <c r="D10" s="22">
        <f>OnPeakDemandCharge!D10+OffPeakDemandCharges!D10</f>
        <v>37552.051500000001</v>
      </c>
      <c r="E10" s="22">
        <f>OnPeakDemandCharge!E10+OffPeakDemandCharges!E10</f>
        <v>33032.224800000004</v>
      </c>
    </row>
  </sheetData>
  <mergeCells count="4">
    <mergeCell ref="A1:B1"/>
    <mergeCell ref="A2:A4"/>
    <mergeCell ref="A5:A7"/>
    <mergeCell ref="A8:A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963E-5A02-445E-B3ED-2264085D2956}">
  <sheetPr>
    <tabColor theme="2" tint="-0.89999084444715716"/>
  </sheetPr>
  <dimension ref="A1:H13"/>
  <sheetViews>
    <sheetView workbookViewId="0">
      <selection activeCell="A3" sqref="A3"/>
    </sheetView>
  </sheetViews>
  <sheetFormatPr defaultRowHeight="14.4" x14ac:dyDescent="0.3"/>
  <cols>
    <col min="2" max="2" width="15" bestFit="1" customWidth="1"/>
  </cols>
  <sheetData>
    <row r="1" spans="1:8" x14ac:dyDescent="0.3">
      <c r="A1" s="15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s="15" t="s">
        <v>13</v>
      </c>
    </row>
    <row r="3" spans="1:8" x14ac:dyDescent="0.3">
      <c r="A3" s="15" t="s">
        <v>26</v>
      </c>
      <c r="B3" s="16">
        <v>113922.04</v>
      </c>
      <c r="C3" s="16">
        <v>1382.12</v>
      </c>
      <c r="D3" s="16">
        <v>1382.12</v>
      </c>
      <c r="E3" s="16">
        <v>4519.82</v>
      </c>
      <c r="F3" s="16">
        <v>33032.26</v>
      </c>
      <c r="G3" s="16">
        <v>37552.080000000002</v>
      </c>
      <c r="H3" s="17">
        <v>4232.49</v>
      </c>
    </row>
    <row r="4" spans="1:8" x14ac:dyDescent="0.3">
      <c r="A4" s="15" t="s">
        <v>24</v>
      </c>
      <c r="B4" s="16">
        <v>113922.04</v>
      </c>
      <c r="C4" s="16">
        <v>1382.12</v>
      </c>
      <c r="D4" s="16">
        <v>1382.12</v>
      </c>
      <c r="E4" s="16">
        <v>4519.82</v>
      </c>
      <c r="F4" s="16">
        <v>33032.26</v>
      </c>
      <c r="G4" s="16">
        <v>37552.080000000002</v>
      </c>
      <c r="H4" s="17">
        <v>4228.5</v>
      </c>
    </row>
    <row r="5" spans="1:8" x14ac:dyDescent="0.3">
      <c r="A5" s="15" t="s">
        <v>29</v>
      </c>
      <c r="B5" s="16">
        <v>113922.04</v>
      </c>
      <c r="C5" s="16">
        <v>1382.12</v>
      </c>
      <c r="D5" s="16">
        <v>1382.12</v>
      </c>
      <c r="E5" s="16">
        <v>4519.82</v>
      </c>
      <c r="F5" s="16">
        <v>33032.26</v>
      </c>
      <c r="G5" s="16">
        <v>37552.080000000002</v>
      </c>
      <c r="H5" s="17">
        <v>4213.41</v>
      </c>
    </row>
    <row r="6" spans="1:8" x14ac:dyDescent="0.3">
      <c r="A6" s="15" t="s">
        <v>22</v>
      </c>
      <c r="B6" s="17">
        <v>141847.76</v>
      </c>
      <c r="C6" s="17">
        <v>1382.19</v>
      </c>
      <c r="D6" s="17">
        <v>1395.41</v>
      </c>
      <c r="E6" s="17">
        <v>4519.82</v>
      </c>
      <c r="F6" s="17">
        <v>33032.26</v>
      </c>
      <c r="G6" s="17">
        <v>37552.080000000002</v>
      </c>
      <c r="H6" s="17">
        <v>5236.3100000000004</v>
      </c>
    </row>
    <row r="7" spans="1:8" x14ac:dyDescent="0.3">
      <c r="A7" s="15" t="s">
        <v>27</v>
      </c>
      <c r="B7" s="16">
        <v>141847.76</v>
      </c>
      <c r="C7" s="16">
        <v>1382.19</v>
      </c>
      <c r="D7" s="16">
        <v>1395.41</v>
      </c>
      <c r="E7" s="16">
        <v>4519.82</v>
      </c>
      <c r="F7" s="16">
        <v>33032.26</v>
      </c>
      <c r="G7" s="16">
        <v>37552.080000000002</v>
      </c>
      <c r="H7" s="16">
        <v>5242.1400000000003</v>
      </c>
    </row>
    <row r="8" spans="1:8" x14ac:dyDescent="0.3">
      <c r="A8" s="15" t="s">
        <v>28</v>
      </c>
      <c r="B8" s="16">
        <v>141847.76</v>
      </c>
      <c r="C8" s="16">
        <v>1382.19</v>
      </c>
      <c r="D8" s="16">
        <v>1395.41</v>
      </c>
      <c r="E8" s="16">
        <v>4519.82</v>
      </c>
      <c r="F8" s="16">
        <v>33032.26</v>
      </c>
      <c r="G8" s="16">
        <v>37552.080000000002</v>
      </c>
      <c r="H8" s="16">
        <v>5246.09</v>
      </c>
    </row>
    <row r="9" spans="1:8" x14ac:dyDescent="0.3">
      <c r="A9" s="15" t="s">
        <v>23</v>
      </c>
      <c r="B9" s="16">
        <v>150233.87</v>
      </c>
      <c r="C9" s="16">
        <v>1382.21</v>
      </c>
      <c r="D9" s="16">
        <v>1418.91</v>
      </c>
      <c r="E9" s="16">
        <v>4519.82</v>
      </c>
      <c r="F9" s="16">
        <v>33032.26</v>
      </c>
      <c r="G9" s="16">
        <v>37552.080000000002</v>
      </c>
      <c r="H9" s="16">
        <v>5537.75</v>
      </c>
    </row>
    <row r="10" spans="1:8" x14ac:dyDescent="0.3">
      <c r="A10" s="15" t="s">
        <v>25</v>
      </c>
      <c r="B10" s="16">
        <v>150233.87</v>
      </c>
      <c r="C10" s="16">
        <v>1382.21</v>
      </c>
      <c r="D10" s="16">
        <v>1418.91</v>
      </c>
      <c r="E10" s="16">
        <v>4519.82</v>
      </c>
      <c r="F10" s="16">
        <v>33032.26</v>
      </c>
      <c r="G10" s="16">
        <v>37552.080000000002</v>
      </c>
      <c r="H10" s="16">
        <v>5546.53</v>
      </c>
    </row>
    <row r="11" spans="1:8" x14ac:dyDescent="0.3">
      <c r="A11" s="15" t="s">
        <v>30</v>
      </c>
      <c r="B11" s="16">
        <v>150233.87</v>
      </c>
      <c r="C11" s="16">
        <v>1382.21</v>
      </c>
      <c r="D11" s="16">
        <v>1418.91</v>
      </c>
      <c r="E11" s="16">
        <v>4519.82</v>
      </c>
      <c r="F11" s="16">
        <v>33032.26</v>
      </c>
      <c r="G11" s="16">
        <v>37552.080000000002</v>
      </c>
      <c r="H11" s="16">
        <v>5556.21</v>
      </c>
    </row>
    <row r="12" spans="1:8" x14ac:dyDescent="0.3">
      <c r="A12" s="15" t="s">
        <v>13</v>
      </c>
    </row>
    <row r="13" spans="1:8" x14ac:dyDescent="0.3">
      <c r="A13" s="15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0686-5373-4925-99E3-CA834F6D5C4E}">
  <sheetPr>
    <tabColor theme="2" tint="-0.89999084444715716"/>
  </sheetPr>
  <dimension ref="A1:AD45"/>
  <sheetViews>
    <sheetView workbookViewId="0">
      <selection activeCell="J22" sqref="J22"/>
    </sheetView>
  </sheetViews>
  <sheetFormatPr defaultRowHeight="14.4" x14ac:dyDescent="0.3"/>
  <cols>
    <col min="2" max="2" width="15" bestFit="1" customWidth="1"/>
    <col min="24" max="24" width="15" bestFit="1" customWidth="1"/>
  </cols>
  <sheetData>
    <row r="1" spans="1:8" x14ac:dyDescent="0.3">
      <c r="A1" s="15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s="15" t="s">
        <v>13</v>
      </c>
    </row>
    <row r="3" spans="1:8" x14ac:dyDescent="0.3">
      <c r="A3" s="15" t="s">
        <v>26</v>
      </c>
      <c r="B3" s="16">
        <v>115416.43</v>
      </c>
      <c r="C3">
        <v>-0.09</v>
      </c>
      <c r="D3" s="16">
        <v>1234.19</v>
      </c>
      <c r="E3">
        <v>-0.28999999999999998</v>
      </c>
      <c r="F3" s="16">
        <v>28732.04</v>
      </c>
      <c r="G3" s="16">
        <v>28731.75</v>
      </c>
      <c r="H3" s="16">
        <v>4236.6899999999996</v>
      </c>
    </row>
    <row r="4" spans="1:8" x14ac:dyDescent="0.3">
      <c r="A4" s="15" t="s">
        <v>24</v>
      </c>
      <c r="B4" s="16">
        <v>115416.43</v>
      </c>
      <c r="C4">
        <v>-0.09</v>
      </c>
      <c r="D4" s="16">
        <v>1234.19</v>
      </c>
      <c r="E4">
        <v>-0.28999999999999998</v>
      </c>
      <c r="F4" s="16">
        <v>28732.04</v>
      </c>
      <c r="G4" s="16">
        <v>28731.75</v>
      </c>
      <c r="H4" s="16">
        <v>4258.8900000000003</v>
      </c>
    </row>
    <row r="5" spans="1:8" x14ac:dyDescent="0.3">
      <c r="A5" s="15" t="s">
        <v>29</v>
      </c>
      <c r="B5" s="16">
        <v>115416.43</v>
      </c>
      <c r="C5">
        <v>-0.09</v>
      </c>
      <c r="D5" s="16">
        <v>1234.19</v>
      </c>
      <c r="E5">
        <v>-0.28999999999999998</v>
      </c>
      <c r="F5" s="16">
        <v>28732.04</v>
      </c>
      <c r="G5" s="16">
        <v>28731.75</v>
      </c>
      <c r="H5" s="16">
        <v>4295.5600000000004</v>
      </c>
    </row>
    <row r="6" spans="1:8" x14ac:dyDescent="0.3">
      <c r="A6" s="15" t="s">
        <v>22</v>
      </c>
      <c r="B6" s="16">
        <v>143342.16</v>
      </c>
      <c r="C6">
        <v>-0.02</v>
      </c>
      <c r="D6" s="16">
        <v>1372.49</v>
      </c>
      <c r="E6">
        <v>-7.0000000000000007E-2</v>
      </c>
      <c r="F6" s="16">
        <v>31951.67</v>
      </c>
      <c r="G6" s="16">
        <v>31951.599999999999</v>
      </c>
      <c r="H6" s="16">
        <v>5218.76</v>
      </c>
    </row>
    <row r="7" spans="1:8" x14ac:dyDescent="0.3">
      <c r="A7" s="15" t="s">
        <v>27</v>
      </c>
      <c r="B7" s="16">
        <v>143342.16</v>
      </c>
      <c r="C7">
        <v>-0.02</v>
      </c>
      <c r="D7" s="16">
        <v>1372.49</v>
      </c>
      <c r="E7">
        <v>-7.0000000000000007E-2</v>
      </c>
      <c r="F7" s="16">
        <v>31951.67</v>
      </c>
      <c r="G7" s="16">
        <v>31951.599999999999</v>
      </c>
      <c r="H7" s="16">
        <v>5251.11</v>
      </c>
    </row>
    <row r="8" spans="1:8" x14ac:dyDescent="0.3">
      <c r="A8" s="15" t="s">
        <v>28</v>
      </c>
      <c r="B8" s="16">
        <v>143342.16</v>
      </c>
      <c r="C8">
        <v>-0.02</v>
      </c>
      <c r="D8" s="16">
        <v>1372.49</v>
      </c>
      <c r="E8">
        <v>-7.0000000000000007E-2</v>
      </c>
      <c r="F8" s="16">
        <v>31951.67</v>
      </c>
      <c r="G8" s="16">
        <v>31951.599999999999</v>
      </c>
      <c r="H8" s="16">
        <v>5307.57</v>
      </c>
    </row>
    <row r="9" spans="1:8" x14ac:dyDescent="0.3">
      <c r="A9" s="15" t="s">
        <v>23</v>
      </c>
      <c r="B9" s="16">
        <v>151728.26</v>
      </c>
      <c r="C9">
        <v>0</v>
      </c>
      <c r="D9" s="16">
        <v>1418.91</v>
      </c>
      <c r="E9">
        <v>0</v>
      </c>
      <c r="F9" s="16">
        <v>33032.26</v>
      </c>
      <c r="G9" s="16">
        <v>33032.26</v>
      </c>
      <c r="H9" s="16">
        <v>5513.67</v>
      </c>
    </row>
    <row r="10" spans="1:8" x14ac:dyDescent="0.3">
      <c r="A10" s="15" t="s">
        <v>25</v>
      </c>
      <c r="B10" s="16">
        <v>151728.26</v>
      </c>
      <c r="C10">
        <v>0</v>
      </c>
      <c r="D10" s="16">
        <v>1418.91</v>
      </c>
      <c r="E10">
        <v>0</v>
      </c>
      <c r="F10" s="16">
        <v>33032.26</v>
      </c>
      <c r="G10" s="16">
        <v>33032.26</v>
      </c>
      <c r="H10" s="16">
        <v>5549.08</v>
      </c>
    </row>
    <row r="11" spans="1:8" x14ac:dyDescent="0.3">
      <c r="A11" s="15" t="s">
        <v>30</v>
      </c>
      <c r="B11" s="16">
        <v>151728.26</v>
      </c>
      <c r="C11">
        <v>0</v>
      </c>
      <c r="D11" s="16">
        <v>1418.91</v>
      </c>
      <c r="E11">
        <v>0</v>
      </c>
      <c r="F11" s="16">
        <v>33032.26</v>
      </c>
      <c r="G11" s="16">
        <v>33032.26</v>
      </c>
      <c r="H11" s="16">
        <v>5611.48</v>
      </c>
    </row>
    <row r="12" spans="1:8" x14ac:dyDescent="0.3">
      <c r="A12" s="15" t="s">
        <v>13</v>
      </c>
    </row>
    <row r="13" spans="1:8" x14ac:dyDescent="0.3">
      <c r="A13" s="15" t="s">
        <v>38</v>
      </c>
      <c r="B13" t="s">
        <v>39</v>
      </c>
      <c r="C13" t="s">
        <v>40</v>
      </c>
      <c r="D13">
        <v>57.13</v>
      </c>
      <c r="E13" t="s">
        <v>41</v>
      </c>
      <c r="F13" t="s">
        <v>42</v>
      </c>
      <c r="G13" t="s">
        <v>40</v>
      </c>
      <c r="H13">
        <v>4.66</v>
      </c>
    </row>
    <row r="29" spans="9:23" x14ac:dyDescent="0.3">
      <c r="I29" t="s">
        <v>43</v>
      </c>
    </row>
    <row r="32" spans="9:23" x14ac:dyDescent="0.3">
      <c r="W32" t="s">
        <v>44</v>
      </c>
    </row>
    <row r="33" spans="23:30" x14ac:dyDescent="0.3">
      <c r="W33" s="15" t="s">
        <v>14</v>
      </c>
      <c r="X33" t="s">
        <v>15</v>
      </c>
      <c r="Y33" t="s">
        <v>16</v>
      </c>
      <c r="Z33" t="s">
        <v>17</v>
      </c>
      <c r="AA33" t="s">
        <v>18</v>
      </c>
      <c r="AB33" t="s">
        <v>19</v>
      </c>
      <c r="AC33" t="s">
        <v>20</v>
      </c>
      <c r="AD33" t="s">
        <v>21</v>
      </c>
    </row>
    <row r="34" spans="23:30" x14ac:dyDescent="0.3">
      <c r="W34" s="15" t="s">
        <v>13</v>
      </c>
    </row>
    <row r="35" spans="23:30" x14ac:dyDescent="0.3">
      <c r="W35" s="15" t="s">
        <v>26</v>
      </c>
      <c r="X35" s="16">
        <v>118530.69</v>
      </c>
      <c r="Y35">
        <v>-0.09</v>
      </c>
      <c r="Z35" s="16">
        <v>1234.19</v>
      </c>
      <c r="AA35" s="16">
        <v>4519.82</v>
      </c>
      <c r="AB35" s="16">
        <v>33032.26</v>
      </c>
      <c r="AC35" s="16">
        <v>37552.080000000002</v>
      </c>
      <c r="AD35" s="16">
        <v>4351.6099999999997</v>
      </c>
    </row>
    <row r="36" spans="23:30" x14ac:dyDescent="0.3">
      <c r="W36" s="15" t="s">
        <v>24</v>
      </c>
      <c r="X36" s="16">
        <v>118530.69</v>
      </c>
      <c r="Y36">
        <v>-0.09</v>
      </c>
      <c r="Z36" s="16">
        <v>1234.19</v>
      </c>
      <c r="AA36" s="16">
        <v>4519.82</v>
      </c>
      <c r="AB36" s="16">
        <v>33032.26</v>
      </c>
      <c r="AC36" s="16">
        <v>37552.080000000002</v>
      </c>
      <c r="AD36" s="16">
        <v>4373.99</v>
      </c>
    </row>
    <row r="37" spans="23:30" x14ac:dyDescent="0.3">
      <c r="W37" s="15" t="s">
        <v>29</v>
      </c>
      <c r="X37" s="16">
        <v>118530.69</v>
      </c>
      <c r="Y37">
        <v>-0.09</v>
      </c>
      <c r="Z37" s="16">
        <v>1234.19</v>
      </c>
      <c r="AA37" s="16">
        <v>4519.82</v>
      </c>
      <c r="AB37" s="16">
        <v>33032.26</v>
      </c>
      <c r="AC37" s="16">
        <v>37552.080000000002</v>
      </c>
      <c r="AD37" s="16">
        <v>4410.74</v>
      </c>
    </row>
    <row r="38" spans="23:30" x14ac:dyDescent="0.3">
      <c r="W38" s="15" t="s">
        <v>22</v>
      </c>
      <c r="X38" s="16">
        <v>146456.41</v>
      </c>
      <c r="Y38">
        <v>-0.02</v>
      </c>
      <c r="Z38" s="16">
        <v>1372.49</v>
      </c>
      <c r="AA38" s="16">
        <v>4519.82</v>
      </c>
      <c r="AB38" s="16">
        <v>33032.26</v>
      </c>
      <c r="AC38" s="16">
        <v>37552.080000000002</v>
      </c>
      <c r="AD38" s="16">
        <v>5333.67</v>
      </c>
    </row>
    <row r="39" spans="23:30" x14ac:dyDescent="0.3">
      <c r="W39" s="15" t="s">
        <v>27</v>
      </c>
      <c r="X39" s="16">
        <v>146456.41</v>
      </c>
      <c r="Y39">
        <v>-0.02</v>
      </c>
      <c r="Z39" s="16">
        <v>1372.49</v>
      </c>
      <c r="AA39" s="16">
        <v>4519.82</v>
      </c>
      <c r="AB39" s="16">
        <v>33032.26</v>
      </c>
      <c r="AC39" s="16">
        <v>37552.080000000002</v>
      </c>
      <c r="AD39" s="16">
        <v>5366.22</v>
      </c>
    </row>
    <row r="40" spans="23:30" x14ac:dyDescent="0.3">
      <c r="W40" s="15" t="s">
        <v>28</v>
      </c>
      <c r="X40" s="16">
        <v>146456.41</v>
      </c>
      <c r="Y40">
        <v>-0.02</v>
      </c>
      <c r="Z40" s="16">
        <v>1372.49</v>
      </c>
      <c r="AA40" s="16">
        <v>4519.82</v>
      </c>
      <c r="AB40" s="16">
        <v>33032.26</v>
      </c>
      <c r="AC40" s="16">
        <v>37552.080000000002</v>
      </c>
      <c r="AD40" s="16">
        <v>5422.75</v>
      </c>
    </row>
    <row r="41" spans="23:30" x14ac:dyDescent="0.3">
      <c r="W41" s="15" t="s">
        <v>23</v>
      </c>
      <c r="X41" s="16">
        <v>154842.51999999999</v>
      </c>
      <c r="Y41">
        <v>0</v>
      </c>
      <c r="Z41" s="16">
        <v>1418.91</v>
      </c>
      <c r="AA41" s="16">
        <v>4519.82</v>
      </c>
      <c r="AB41" s="16">
        <v>33032.26</v>
      </c>
      <c r="AC41" s="16">
        <v>37552.080000000002</v>
      </c>
      <c r="AD41" s="16">
        <v>5628.59</v>
      </c>
    </row>
    <row r="42" spans="23:30" x14ac:dyDescent="0.3">
      <c r="W42" s="15" t="s">
        <v>25</v>
      </c>
      <c r="X42" s="16">
        <v>154842.51999999999</v>
      </c>
      <c r="Y42">
        <v>0</v>
      </c>
      <c r="Z42" s="16">
        <v>1418.91</v>
      </c>
      <c r="AA42" s="16">
        <v>4519.82</v>
      </c>
      <c r="AB42" s="16">
        <v>33032.26</v>
      </c>
      <c r="AC42" s="16">
        <v>37552.080000000002</v>
      </c>
      <c r="AD42" s="16">
        <v>5664.18</v>
      </c>
    </row>
    <row r="43" spans="23:30" x14ac:dyDescent="0.3">
      <c r="W43" s="15" t="s">
        <v>30</v>
      </c>
      <c r="X43" s="16">
        <v>154842.51999999999</v>
      </c>
      <c r="Y43">
        <v>0</v>
      </c>
      <c r="Z43" s="16">
        <v>1418.91</v>
      </c>
      <c r="AA43" s="16">
        <v>4519.82</v>
      </c>
      <c r="AB43" s="16">
        <v>33032.26</v>
      </c>
      <c r="AC43" s="16">
        <v>37552.080000000002</v>
      </c>
      <c r="AD43" s="16">
        <v>5726.65</v>
      </c>
    </row>
    <row r="44" spans="23:30" x14ac:dyDescent="0.3">
      <c r="W44" s="15" t="s">
        <v>13</v>
      </c>
    </row>
    <row r="45" spans="23:30" x14ac:dyDescent="0.3">
      <c r="W45" s="15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D50D-2C64-479D-88AF-4D5020469277}">
  <sheetPr>
    <tabColor theme="2" tint="-0.89999084444715716"/>
  </sheetPr>
  <dimension ref="A2:H14"/>
  <sheetViews>
    <sheetView tabSelected="1" workbookViewId="0">
      <selection activeCell="A3" sqref="A3"/>
    </sheetView>
  </sheetViews>
  <sheetFormatPr defaultRowHeight="14.4" x14ac:dyDescent="0.3"/>
  <cols>
    <col min="2" max="2" width="15" bestFit="1" customWidth="1"/>
  </cols>
  <sheetData>
    <row r="2" spans="1:8" x14ac:dyDescent="0.3">
      <c r="A2" s="15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3">
      <c r="A3" s="15" t="s">
        <v>13</v>
      </c>
    </row>
    <row r="4" spans="1:8" x14ac:dyDescent="0.3">
      <c r="A4" s="15" t="s">
        <v>26</v>
      </c>
      <c r="B4" s="16">
        <v>122379.33</v>
      </c>
      <c r="C4" s="16">
        <v>1327.79</v>
      </c>
      <c r="D4" s="16">
        <v>1357.37</v>
      </c>
      <c r="E4" s="16">
        <v>4519.82</v>
      </c>
      <c r="F4" s="16">
        <v>33032.26</v>
      </c>
      <c r="G4" s="16">
        <v>37552.080000000002</v>
      </c>
      <c r="H4" s="16">
        <v>4744.75</v>
      </c>
    </row>
    <row r="5" spans="1:8" x14ac:dyDescent="0.3">
      <c r="A5" s="15" t="s">
        <v>24</v>
      </c>
      <c r="B5" s="16">
        <v>122379.33</v>
      </c>
      <c r="C5" s="16">
        <v>1327.79</v>
      </c>
      <c r="D5" s="16">
        <v>1357.37</v>
      </c>
      <c r="E5" s="16">
        <v>4519.82</v>
      </c>
      <c r="F5" s="16">
        <v>33032.26</v>
      </c>
      <c r="G5" s="16">
        <v>37552.080000000002</v>
      </c>
      <c r="H5" s="16">
        <v>4739.1499999999996</v>
      </c>
    </row>
    <row r="6" spans="1:8" x14ac:dyDescent="0.3">
      <c r="A6" s="15" t="s">
        <v>29</v>
      </c>
      <c r="B6" s="16">
        <v>122379.33</v>
      </c>
      <c r="C6" s="16">
        <v>1327.79</v>
      </c>
      <c r="D6" s="16">
        <v>1357.37</v>
      </c>
      <c r="E6" s="16">
        <v>4519.82</v>
      </c>
      <c r="F6" s="16">
        <v>33032.26</v>
      </c>
      <c r="G6" s="16">
        <v>37552.080000000002</v>
      </c>
      <c r="H6" s="16">
        <v>4717.8999999999996</v>
      </c>
    </row>
    <row r="7" spans="1:8" x14ac:dyDescent="0.3">
      <c r="A7" s="15" t="s">
        <v>22</v>
      </c>
      <c r="B7" s="16">
        <v>150305.06</v>
      </c>
      <c r="C7" s="16">
        <v>1327.86</v>
      </c>
      <c r="D7" s="16">
        <v>1357.51</v>
      </c>
      <c r="E7" s="16">
        <v>4519.82</v>
      </c>
      <c r="F7" s="16">
        <v>33032.26</v>
      </c>
      <c r="G7" s="16">
        <v>37552.080000000002</v>
      </c>
      <c r="H7" s="16">
        <v>5605.26</v>
      </c>
    </row>
    <row r="8" spans="1:8" x14ac:dyDescent="0.3">
      <c r="A8" s="15" t="s">
        <v>27</v>
      </c>
      <c r="B8" s="16">
        <v>150305.06</v>
      </c>
      <c r="C8" s="16">
        <v>1327.86</v>
      </c>
      <c r="D8" s="16">
        <v>1357.51</v>
      </c>
      <c r="E8" s="16">
        <v>4519.82</v>
      </c>
      <c r="F8" s="16">
        <v>33032.26</v>
      </c>
      <c r="G8" s="16">
        <v>37552.080000000002</v>
      </c>
      <c r="H8" s="16">
        <v>5608.07</v>
      </c>
    </row>
    <row r="9" spans="1:8" x14ac:dyDescent="0.3">
      <c r="A9" s="15" t="s">
        <v>28</v>
      </c>
      <c r="B9" s="16">
        <v>150305.06</v>
      </c>
      <c r="C9" s="16">
        <v>1327.86</v>
      </c>
      <c r="D9" s="16">
        <v>1357.51</v>
      </c>
      <c r="E9" s="16">
        <v>4519.82</v>
      </c>
      <c r="F9" s="16">
        <v>33032.26</v>
      </c>
      <c r="G9" s="16">
        <v>37552.080000000002</v>
      </c>
      <c r="H9" s="16">
        <v>5603.15</v>
      </c>
    </row>
    <row r="10" spans="1:8" x14ac:dyDescent="0.3">
      <c r="A10" s="15" t="s">
        <v>23</v>
      </c>
      <c r="B10" s="16">
        <v>158691.16</v>
      </c>
      <c r="C10" s="16">
        <v>1327.88</v>
      </c>
      <c r="D10" s="16">
        <v>1357.56</v>
      </c>
      <c r="E10" s="16">
        <v>4519.82</v>
      </c>
      <c r="F10" s="16">
        <v>33032.26</v>
      </c>
      <c r="G10" s="16">
        <v>37552.080000000002</v>
      </c>
      <c r="H10" s="16">
        <v>5863.67</v>
      </c>
    </row>
    <row r="11" spans="1:8" x14ac:dyDescent="0.3">
      <c r="A11" s="15" t="s">
        <v>25</v>
      </c>
      <c r="B11" s="16">
        <v>158691.16</v>
      </c>
      <c r="C11" s="16">
        <v>1327.88</v>
      </c>
      <c r="D11" s="16">
        <v>1357.56</v>
      </c>
      <c r="E11" s="16">
        <v>4519.82</v>
      </c>
      <c r="F11" s="16">
        <v>33032.26</v>
      </c>
      <c r="G11" s="16">
        <v>37552.080000000002</v>
      </c>
      <c r="H11" s="16">
        <v>5869.01</v>
      </c>
    </row>
    <row r="12" spans="1:8" x14ac:dyDescent="0.3">
      <c r="A12" s="15" t="s">
        <v>30</v>
      </c>
      <c r="B12" s="16">
        <v>158691.16</v>
      </c>
      <c r="C12" s="16">
        <v>1327.88</v>
      </c>
      <c r="D12" s="16">
        <v>1357.56</v>
      </c>
      <c r="E12" s="16">
        <v>4519.82</v>
      </c>
      <c r="F12" s="16">
        <v>33032.26</v>
      </c>
      <c r="G12" s="16">
        <v>37552.080000000002</v>
      </c>
      <c r="H12" s="16">
        <v>5868.99</v>
      </c>
    </row>
    <row r="13" spans="1:8" x14ac:dyDescent="0.3">
      <c r="A13" s="15" t="s">
        <v>13</v>
      </c>
    </row>
    <row r="14" spans="1:8" x14ac:dyDescent="0.3">
      <c r="A14" s="15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1105-9222-4B26-A2FB-5BB4CFF8EC5F}">
  <sheetPr>
    <tabColor theme="2" tint="-0.89999084444715716"/>
  </sheetPr>
  <dimension ref="A1:D4"/>
  <sheetViews>
    <sheetView workbookViewId="0">
      <selection activeCell="C5" sqref="C5"/>
    </sheetView>
  </sheetViews>
  <sheetFormatPr defaultRowHeight="14.4" x14ac:dyDescent="0.3"/>
  <cols>
    <col min="1" max="1" width="21" bestFit="1" customWidth="1"/>
    <col min="2" max="2" width="18.21875" bestFit="1" customWidth="1"/>
    <col min="3" max="3" width="15.5546875" bestFit="1" customWidth="1"/>
    <col min="4" max="4" width="15.33203125" bestFit="1" customWidth="1"/>
  </cols>
  <sheetData>
    <row r="1" spans="1:4" x14ac:dyDescent="0.3">
      <c r="B1" t="s">
        <v>12</v>
      </c>
      <c r="C1" t="s">
        <v>32</v>
      </c>
      <c r="D1" t="s">
        <v>35</v>
      </c>
    </row>
    <row r="2" spans="1:4" x14ac:dyDescent="0.3">
      <c r="A2" t="s">
        <v>11</v>
      </c>
      <c r="B2">
        <v>65.45</v>
      </c>
      <c r="C2">
        <v>5.24</v>
      </c>
      <c r="D2" s="20">
        <f>B2/(B2+C2)</f>
        <v>0.92587353232423264</v>
      </c>
    </row>
    <row r="3" spans="1:4" x14ac:dyDescent="0.3">
      <c r="A3" t="s">
        <v>9</v>
      </c>
      <c r="B3">
        <v>59.62</v>
      </c>
      <c r="C3">
        <v>4.7699999999999996</v>
      </c>
      <c r="D3" s="20">
        <f t="shared" ref="D3:D4" si="0">B3/(B3+C3)</f>
        <v>0.92592017394005277</v>
      </c>
    </row>
    <row r="4" spans="1:4" x14ac:dyDescent="0.3">
      <c r="A4" t="s">
        <v>10</v>
      </c>
      <c r="B4">
        <v>57.13</v>
      </c>
      <c r="C4">
        <v>4.66</v>
      </c>
      <c r="D4" s="20">
        <f t="shared" si="0"/>
        <v>0.92458326590063111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RelativeCostChange-Energy</vt:lpstr>
      <vt:lpstr>RelativeCostChange-Demand</vt:lpstr>
      <vt:lpstr>EnergyCosts-Raw</vt:lpstr>
      <vt:lpstr>EnergyCosts-$MG</vt:lpstr>
      <vt:lpstr>EnergyIntensity-kWhMG</vt:lpstr>
      <vt:lpstr>OnPeakDemandCharge</vt:lpstr>
      <vt:lpstr>OffPeakDemandCharges</vt:lpstr>
      <vt:lpstr>NetDemandCharges</vt:lpstr>
      <vt:lpstr>RESULTS-SolarResponse</vt:lpstr>
      <vt:lpstr>RESULTS-TOU</vt:lpstr>
      <vt:lpstr>RESULTS-Steady</vt:lpstr>
      <vt:lpstr>PermeateProduction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Rodriguez,Josh</dc:creator>
  <cp:lastModifiedBy>Rodriguez,Josh</cp:lastModifiedBy>
  <dcterms:created xsi:type="dcterms:W3CDTF">2026-03-19T17:21:02Z</dcterms:created>
  <dcterms:modified xsi:type="dcterms:W3CDTF">2026-03-23T15:16:59Z</dcterms:modified>
</cp:coreProperties>
</file>